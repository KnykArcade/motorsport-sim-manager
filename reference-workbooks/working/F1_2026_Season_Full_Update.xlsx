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F1 Rating\"/>
    </mc:Choice>
  </mc:AlternateContent>
  <xr:revisionPtr revIDLastSave="0" documentId="11_0096B77A25DDD22C8C0C66F57B058611B3872059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2026_Calendar_Track_Ratings" sheetId="2" r:id="rId2"/>
    <sheet name="2026_Driver_Ratings" sheetId="3" r:id="rId3"/>
    <sheet name="2026_Team_Car_Ratings" sheetId="4" r:id="rId4"/>
    <sheet name="2026_Driver_Market" sheetId="5" r:id="rId5"/>
    <sheet name="2026_Youth_Prospects" sheetId="6" r:id="rId6"/>
    <sheet name="2026_Regulations_Changes" sheetId="7" r:id="rId7"/>
    <sheet name="Future_Mode_Hooks" sheetId="8" r:id="rId8"/>
    <sheet name="2026_Points_System" sheetId="9" r:id="rId9"/>
    <sheet name="Rating_Key" sheetId="10" r:id="rId10"/>
    <sheet name="Sourc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4" l="1"/>
  <c r="O12" i="4"/>
  <c r="O11" i="4"/>
  <c r="O10" i="4"/>
  <c r="O9" i="4"/>
  <c r="O8" i="4"/>
  <c r="O7" i="4"/>
  <c r="O6" i="4"/>
  <c r="O5" i="4"/>
  <c r="O4" i="4"/>
  <c r="O3" i="4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X5" i="2"/>
  <c r="W5" i="2"/>
  <c r="V5" i="2"/>
  <c r="U5" i="2"/>
  <c r="X4" i="2"/>
  <c r="W4" i="2"/>
  <c r="V4" i="2"/>
  <c r="U4" i="2"/>
  <c r="X3" i="2"/>
  <c r="W3" i="2"/>
  <c r="V3" i="2"/>
  <c r="U3" i="2"/>
</calcChain>
</file>

<file path=xl/sharedStrings.xml><?xml version="1.0" encoding="utf-8"?>
<sst xmlns="http://schemas.openxmlformats.org/spreadsheetml/2006/main" count="1058" uniqueCount="677">
  <si>
    <t>F1 2026 Season Full Update</t>
  </si>
  <si>
    <t>Section</t>
  </si>
  <si>
    <t>Details</t>
  </si>
  <si>
    <t>Workbook</t>
  </si>
  <si>
    <t>Purpose</t>
  </si>
  <si>
    <t>Modern/current-era season database for Motorsport History Manager, with future-career-mode continuation support.</t>
  </si>
  <si>
    <t>Season Baseline</t>
  </si>
  <si>
    <t>2026 FIA Formula One World Championship; ratings are game-simulation values, not official FIA/FOM ratings.</t>
  </si>
  <si>
    <t>Calendar Baseline</t>
  </si>
  <si>
    <t>Uses the active 22-race 2026 season after Bahrain and Saudi Arabia cancellations; original 24-race calendar included as schedule-change context.</t>
  </si>
  <si>
    <t>Current Status Baseline</t>
  </si>
  <si>
    <t>Includes results/standings through the Austrian GP on June 28, 2026; remaining races are future/TBD in the workbook.</t>
  </si>
  <si>
    <t>Key Gameplay Hook</t>
  </si>
  <si>
    <t>Start a Current Era Career in 2026, then continue into generated 2027+ seasons with regulations, driver market, academy, budget, and development carryover.</t>
  </si>
  <si>
    <t>Major Rules Hook</t>
  </si>
  <si>
    <t>2026 is a technical reset: active aero, new energy-heavy hybrid power units, sustainable fuels, new PU suppliers, Cadillac expansion, and major development uncertainty.</t>
  </si>
  <si>
    <t>Recommended Use</t>
  </si>
  <si>
    <t>Import seed data into /src/data/seasons/2026.ts and create future-mode generation logic from the Future_Mode_Hooks sheet.</t>
  </si>
  <si>
    <t>2026 Calendar + Track Ratings</t>
  </si>
  <si>
    <t>Round</t>
  </si>
  <si>
    <t>GP Name</t>
  </si>
  <si>
    <t>Track</t>
  </si>
  <si>
    <t>Country</t>
  </si>
  <si>
    <t>Date</t>
  </si>
  <si>
    <t>Status</t>
  </si>
  <si>
    <t>Sprint Weekend</t>
  </si>
  <si>
    <t>Laps</t>
  </si>
  <si>
    <t>KM</t>
  </si>
  <si>
    <t>Track Archetype</t>
  </si>
  <si>
    <t>Corners</t>
  </si>
  <si>
    <t>Braking</t>
  </si>
  <si>
    <t>Straights</t>
  </si>
  <si>
    <t>Traction/Acceleration</t>
  </si>
  <si>
    <t>Elevation &amp; Blind Corner</t>
  </si>
  <si>
    <t>Technical</t>
  </si>
  <si>
    <t>Overtaking/Racecraft</t>
  </si>
  <si>
    <t>Surface Grip &amp; Bumpiness</t>
  </si>
  <si>
    <t>Risk/Wall Proximity</t>
  </si>
  <si>
    <t>Endurance/Consistency</t>
  </si>
  <si>
    <t>Aero Demand</t>
  </si>
  <si>
    <t>Power Demand</t>
  </si>
  <si>
    <t>Mechanical Demand</t>
  </si>
  <si>
    <t>Risk Demand</t>
  </si>
  <si>
    <t>Recommended Downforce</t>
  </si>
  <si>
    <t>Strategy Notes</t>
  </si>
  <si>
    <t>Winner/Baseline</t>
  </si>
  <si>
    <t>Source Notes</t>
  </si>
  <si>
    <t>Australian Grand Prix</t>
  </si>
  <si>
    <t>Albert Park</t>
  </si>
  <si>
    <t>Australia</t>
  </si>
  <si>
    <t>06-08 Mar</t>
  </si>
  <si>
    <t>Completed</t>
  </si>
  <si>
    <t>No</t>
  </si>
  <si>
    <t>Temporary street / balanced</t>
  </si>
  <si>
    <t>Medium</t>
  </si>
  <si>
    <t>Balanced race setup; watch graining and SC windows.</t>
  </si>
  <si>
    <t>George Russell</t>
  </si>
  <si>
    <t>Official F1 calendar/results</t>
  </si>
  <si>
    <t>Chinese Grand Prix</t>
  </si>
  <si>
    <t>Shanghai International Circuit</t>
  </si>
  <si>
    <t>China</t>
  </si>
  <si>
    <t>13-15 Mar</t>
  </si>
  <si>
    <t>Yes</t>
  </si>
  <si>
    <t>Power / long-straight technical</t>
  </si>
  <si>
    <t>Medium-low</t>
  </si>
  <si>
    <t>Sprint weekend; long back straight rewards power and energy deployment.</t>
  </si>
  <si>
    <t>Kimi Antonelli</t>
  </si>
  <si>
    <t>Japanese Grand Prix</t>
  </si>
  <si>
    <t>Suzuka</t>
  </si>
  <si>
    <t>Japan</t>
  </si>
  <si>
    <t>27-29 Mar</t>
  </si>
  <si>
    <t>High-speed technical / driver circuit</t>
  </si>
  <si>
    <t>Medium-high</t>
  </si>
  <si>
    <t>Rhythm, aero balance, confidence through Esses; mistakes costly.</t>
  </si>
  <si>
    <t>Miami Grand Prix</t>
  </si>
  <si>
    <t>Miami International Autodrome</t>
  </si>
  <si>
    <t>USA</t>
  </si>
  <si>
    <t>01-03 May</t>
  </si>
  <si>
    <t>Modern street / power-braking</t>
  </si>
  <si>
    <t>Sprint weekend; top speed and braking stability key.</t>
  </si>
  <si>
    <t>Canadian Grand Prix</t>
  </si>
  <si>
    <t>Circuit Gilles Villeneuve</t>
  </si>
  <si>
    <t>Canada</t>
  </si>
  <si>
    <t>22-24 May</t>
  </si>
  <si>
    <t>Stop-start power / braking</t>
  </si>
  <si>
    <t>Low-medium</t>
  </si>
  <si>
    <t>Sprint weekend; braking, traction and wall proximity create SC/pit opportunities.</t>
  </si>
  <si>
    <t>Monaco Grand Prix</t>
  </si>
  <si>
    <t>Circuit de Monaco</t>
  </si>
  <si>
    <t>Monaco</t>
  </si>
  <si>
    <t>05-07 Jun</t>
  </si>
  <si>
    <t>Street circuit / max downforce</t>
  </si>
  <si>
    <t>Maximum</t>
  </si>
  <si>
    <t>Track position race; qualifying and risk control dominate.</t>
  </si>
  <si>
    <t>Spanish Grand Prix</t>
  </si>
  <si>
    <t>Circuit de Barcelona-Catalunya</t>
  </si>
  <si>
    <t>Spain</t>
  </si>
  <si>
    <t>12-14 Jun</t>
  </si>
  <si>
    <t>Aero benchmark / technical</t>
  </si>
  <si>
    <t>Aero efficiency and tyre management benchmark race.</t>
  </si>
  <si>
    <t>Lewis Hamilton</t>
  </si>
  <si>
    <t>Austrian Grand Prix</t>
  </si>
  <si>
    <t>Red Bull Ring</t>
  </si>
  <si>
    <t>Austria</t>
  </si>
  <si>
    <t>26-28 Jun</t>
  </si>
  <si>
    <t>Short power / braking / elevation</t>
  </si>
  <si>
    <t>Short lap; qualifying traffic, uphill braking and energy deployment matter.</t>
  </si>
  <si>
    <t>British Grand Prix</t>
  </si>
  <si>
    <t>Silverstone</t>
  </si>
  <si>
    <t>Great Britain</t>
  </si>
  <si>
    <t>03-05 Jul</t>
  </si>
  <si>
    <t>Scheduled</t>
  </si>
  <si>
    <t>High-speed aero</t>
  </si>
  <si>
    <t>Sprint weekend; high-speed aero and tyre load management.</t>
  </si>
  <si>
    <t>TBD</t>
  </si>
  <si>
    <t>Official F1 calendar</t>
  </si>
  <si>
    <t>Belgian Grand Prix</t>
  </si>
  <si>
    <t>Spa-Francorchamps</t>
  </si>
  <si>
    <t>Belgium</t>
  </si>
  <si>
    <t>17-19 Jul</t>
  </si>
  <si>
    <t>Long power / elevation / mixed aero</t>
  </si>
  <si>
    <t>Weather and long-lap strategy; power vs aero compromise.</t>
  </si>
  <si>
    <t>Hungarian Grand Prix</t>
  </si>
  <si>
    <t>Hungaroring</t>
  </si>
  <si>
    <t>Hungary</t>
  </si>
  <si>
    <t>24-26 Jul</t>
  </si>
  <si>
    <t>Low-speed technical / high downforce</t>
  </si>
  <si>
    <t>High</t>
  </si>
  <si>
    <t>Track position and tyre wear; overtaking is difficult.</t>
  </si>
  <si>
    <t>Dutch Grand Prix</t>
  </si>
  <si>
    <t>Zandvoort</t>
  </si>
  <si>
    <t>Netherlands</t>
  </si>
  <si>
    <t>21-23 Aug</t>
  </si>
  <si>
    <t>Banked technical / high downforce</t>
  </si>
  <si>
    <t>Sprint weekend; banked corners, qualifying and tyre load key.</t>
  </si>
  <si>
    <t>Italian Grand Prix</t>
  </si>
  <si>
    <t>Monza</t>
  </si>
  <si>
    <t>Italy</t>
  </si>
  <si>
    <t>04-06 Sep</t>
  </si>
  <si>
    <t>Power / low downforce</t>
  </si>
  <si>
    <t>Low</t>
  </si>
  <si>
    <t>Minimum drag; braking stability; active aero energy management race.</t>
  </si>
  <si>
    <t>Madring</t>
  </si>
  <si>
    <t>11-13 Sep</t>
  </si>
  <si>
    <t>New urban circuit / provisional</t>
  </si>
  <si>
    <t>New venue; setup uncertainty, brake demand and street-circuit risk. Provisional game values.</t>
  </si>
  <si>
    <t>Official F1 calendar article</t>
  </si>
  <si>
    <t>Azerbaijan Grand Prix</t>
  </si>
  <si>
    <t>Baku City Circuit</t>
  </si>
  <si>
    <t>Azerbaijan</t>
  </si>
  <si>
    <t>24-26 Sep</t>
  </si>
  <si>
    <t>Street power / long straight</t>
  </si>
  <si>
    <t>Massive straight, tight walls, SC windows and reliability risk.</t>
  </si>
  <si>
    <t>Singapore Grand Prix</t>
  </si>
  <si>
    <t>Marina Bay Street Circuit</t>
  </si>
  <si>
    <t>Singapore</t>
  </si>
  <si>
    <t>09-11 Oct</t>
  </si>
  <si>
    <t>Night street / endurance / max downforce</t>
  </si>
  <si>
    <t>Sprint weekend; heat, focus, walls and safety car strategy.</t>
  </si>
  <si>
    <t>United States Grand Prix</t>
  </si>
  <si>
    <t>Circuit of the Americas</t>
  </si>
  <si>
    <t>23-25 Oct</t>
  </si>
  <si>
    <t>Mixed aero / elevation</t>
  </si>
  <si>
    <t>Balanced car, elevation, overtaking and tyre degradation.</t>
  </si>
  <si>
    <t>Mexico City Grand Prix</t>
  </si>
  <si>
    <t>Autódromo Hermanos Rodríguez</t>
  </si>
  <si>
    <t>Mexico</t>
  </si>
  <si>
    <t>30 Oct-01 Nov</t>
  </si>
  <si>
    <t>Altitude / power / traction</t>
  </si>
  <si>
    <t>Thin air affects aero/cooling; braking and traction matter.</t>
  </si>
  <si>
    <t>São Paulo Grand Prix</t>
  </si>
  <si>
    <t>Interlagos</t>
  </si>
  <si>
    <t>Brazil</t>
  </si>
  <si>
    <t>06-08 Nov</t>
  </si>
  <si>
    <t>Short mixed / elevation</t>
  </si>
  <si>
    <t>Weather risk, rhythm, traction and racecraft.</t>
  </si>
  <si>
    <t>Las Vegas Grand Prix</t>
  </si>
  <si>
    <t>Las Vegas Strip Circuit</t>
  </si>
  <si>
    <t>19-21 Nov</t>
  </si>
  <si>
    <t>Street power / low grip</t>
  </si>
  <si>
    <t>Low temperatures, long straights, braking and tyre warm-up.</t>
  </si>
  <si>
    <t>Qatar Grand Prix</t>
  </si>
  <si>
    <t>Lusail International Circuit</t>
  </si>
  <si>
    <t>Qatar</t>
  </si>
  <si>
    <t>27-29 Nov</t>
  </si>
  <si>
    <t>High-speed tyre endurance</t>
  </si>
  <si>
    <t>Sustained cornering load; tyre and driver endurance.</t>
  </si>
  <si>
    <t>Abu Dhabi Grand Prix</t>
  </si>
  <si>
    <t>Yas Marina Circuit</t>
  </si>
  <si>
    <t>UAE</t>
  </si>
  <si>
    <t>04-06 Dec</t>
  </si>
  <si>
    <t>Modern stop-start / season finale</t>
  </si>
  <si>
    <t>Finale; strategy flexibility, traction and braking.</t>
  </si>
  <si>
    <t>2026 Driver Ratings</t>
  </si>
  <si>
    <t>Team</t>
  </si>
  <si>
    <t>Driver</t>
  </si>
  <si>
    <t>Nationality</t>
  </si>
  <si>
    <t>Age</t>
  </si>
  <si>
    <t>Current Points</t>
  </si>
  <si>
    <t>Current Standings Pos</t>
  </si>
  <si>
    <t>Risk Management</t>
  </si>
  <si>
    <t>Qualifying</t>
  </si>
  <si>
    <t>Race Pace</t>
  </si>
  <si>
    <t>Overall Rating</t>
  </si>
  <si>
    <t>Potential Rating</t>
  </si>
  <si>
    <t>Market Status</t>
  </si>
  <si>
    <t>Notes</t>
  </si>
  <si>
    <t>Mercedes</t>
  </si>
  <si>
    <t>Contracted</t>
  </si>
  <si>
    <t>Elite rookie / title leader; maximum growth curve.</t>
  </si>
  <si>
    <t>Top-tier qualifier and team leader; high consistency.</t>
  </si>
  <si>
    <t>Ferrari</t>
  </si>
  <si>
    <t>Legendary racecraft; still elite but age curve matters in Career Mode.</t>
  </si>
  <si>
    <t>Charles Leclerc</t>
  </si>
  <si>
    <t>Elite qualifier; Ferrari benchmark pace.</t>
  </si>
  <si>
    <t>McLaren</t>
  </si>
  <si>
    <t>Oscar Piastri</t>
  </si>
  <si>
    <t>Calm, clinical, high potential title driver.</t>
  </si>
  <si>
    <t>Lando Norris</t>
  </si>
  <si>
    <t>Elite pace and overtaking; high market value.</t>
  </si>
  <si>
    <t>Red Bull Racing</t>
  </si>
  <si>
    <t>Max Verstappen</t>
  </si>
  <si>
    <t>Highest raw driver rating despite weaker 2026 baseline.</t>
  </si>
  <si>
    <t>Isack Hadjar</t>
  </si>
  <si>
    <t>France</t>
  </si>
  <si>
    <t>Red Bull promotion; strong upside but pressure risk.</t>
  </si>
  <si>
    <t>Alpine</t>
  </si>
  <si>
    <t>Pierre Gasly</t>
  </si>
  <si>
    <t>Experienced scorer; strong mixed-condition racer.</t>
  </si>
  <si>
    <t>Franco Colapinto</t>
  </si>
  <si>
    <t>Argentina</t>
  </si>
  <si>
    <t>High-upside young driver; consistency still developing.</t>
  </si>
  <si>
    <t>Racing Bulls</t>
  </si>
  <si>
    <t>Liam Lawson</t>
  </si>
  <si>
    <t>New Zealand</t>
  </si>
  <si>
    <t>Aggressive, adaptable, good midfield point scorer.</t>
  </si>
  <si>
    <t>Arvid Lindblad</t>
  </si>
  <si>
    <t>Teenage rookie with major long-term potential.</t>
  </si>
  <si>
    <t>Haas F1 Team</t>
  </si>
  <si>
    <t>Oliver Bearman</t>
  </si>
  <si>
    <t>Young Ferrari-linked prospect; strong growth curve.</t>
  </si>
  <si>
    <t>Esteban Ocon</t>
  </si>
  <si>
    <t>Veteran racecraft; team politics/team orders sensitivity.</t>
  </si>
  <si>
    <t>Williams</t>
  </si>
  <si>
    <t>Carlos Sainz</t>
  </si>
  <si>
    <t>Top-tier development driver; high technical feedback.</t>
  </si>
  <si>
    <t>Alexander Albon</t>
  </si>
  <si>
    <t>Thailand</t>
  </si>
  <si>
    <t>Strong overperformer; excellent midfield benchmark.</t>
  </si>
  <si>
    <t>Audi</t>
  </si>
  <si>
    <t>Gabriel Bortoleto</t>
  </si>
  <si>
    <t>Audi rookie; long-term upside.</t>
  </si>
  <si>
    <t>Nico Hulkenberg</t>
  </si>
  <si>
    <t>Germany</t>
  </si>
  <si>
    <t>Experienced stabilizer; high feedback, lower future ceiling.</t>
  </si>
  <si>
    <t>Aston Martin</t>
  </si>
  <si>
    <t>Fernando Alonso</t>
  </si>
  <si>
    <t>Elite race IQ; age and motivation are Career Mode risks.</t>
  </si>
  <si>
    <t>Lance Stroll</t>
  </si>
  <si>
    <t>Established but limited; team politics/ownership hook.</t>
  </si>
  <si>
    <t>Cadillac</t>
  </si>
  <si>
    <t>Sergio Perez</t>
  </si>
  <si>
    <t>Experienced launch driver; tyre management and racecraft.</t>
  </si>
  <si>
    <t>Valtteri Bottas</t>
  </si>
  <si>
    <t>Finland</t>
  </si>
  <si>
    <t>Calm veteran; excellent technical feedback for new team.</t>
  </si>
  <si>
    <t>2026 Team + Car Performance Ratings</t>
  </si>
  <si>
    <t>Power Unit</t>
  </si>
  <si>
    <t>Drivers</t>
  </si>
  <si>
    <t>Current Constructors Points</t>
  </si>
  <si>
    <t>Current Constructors Pos</t>
  </si>
  <si>
    <t>Engine Power</t>
  </si>
  <si>
    <t>Electrical Deployment</t>
  </si>
  <si>
    <t>Aero Efficiency</t>
  </si>
  <si>
    <t>Mechanical Grip</t>
  </si>
  <si>
    <t>Reliability</t>
  </si>
  <si>
    <t>Pit Crew/Operations</t>
  </si>
  <si>
    <t>Energy Management</t>
  </si>
  <si>
    <t>Tyre Management</t>
  </si>
  <si>
    <t>Budget/Facilities</t>
  </si>
  <si>
    <t>Car Score</t>
  </si>
  <si>
    <t>George Russell; Kimi Antonelli</t>
  </si>
  <si>
    <t>2026 title benchmark through Austria; strongest energy deployment and overall package.</t>
  </si>
  <si>
    <t>Charles Leclerc; Lewis Hamilton</t>
  </si>
  <si>
    <t>High driver quality; strong race package but not as dominant as Mercedes.</t>
  </si>
  <si>
    <t>Lando Norris; Oscar Piastri</t>
  </si>
  <si>
    <t>Strong aero and driver pairing; good growth path into 2027.</t>
  </si>
  <si>
    <t>Red Bull Powertrains-Ford</t>
  </si>
  <si>
    <t>Max Verstappen; Isack Hadjar</t>
  </si>
  <si>
    <t>Transition year with new PU partnership; Verstappen raises ceiling.</t>
  </si>
  <si>
    <t>Renault/Alpine</t>
  </si>
  <si>
    <t>Pierre Gasly; Franco Colapinto</t>
  </si>
  <si>
    <t>Midfield recovery baseline; solid race execution but limited peak.</t>
  </si>
  <si>
    <t>Liam Lawson; Arvid Lindblad</t>
  </si>
  <si>
    <t>Youth-heavy Red Bull satellite; strong development volatility.</t>
  </si>
  <si>
    <t>Esteban Ocon; Oliver Bearman</t>
  </si>
  <si>
    <t>Improved midfield but tight budget/upgrade limitations.</t>
  </si>
  <si>
    <t>Carlos Sainz; Alexander Albon</t>
  </si>
  <si>
    <t>Good driver lineup; car development can unlock future-mode rise.</t>
  </si>
  <si>
    <t>Nico Hulkenberg; Gabriel Bortoleto</t>
  </si>
  <si>
    <t>New works Audi era; lower starting score but high facilities/future potential.</t>
  </si>
  <si>
    <t>Honda</t>
  </si>
  <si>
    <t>Fernando Alonso; Lance Stroll</t>
  </si>
  <si>
    <t>Honda works relationship begins; major future upside despite poor start.</t>
  </si>
  <si>
    <t>Sergio Perez; Valtteri Bottas</t>
  </si>
  <si>
    <t>New constructor; expansion team learning curve, high brand/facility future.</t>
  </si>
  <si>
    <t>2026 Driver Market</t>
  </si>
  <si>
    <t>Pool</t>
  </si>
  <si>
    <t>Current Series/Status</t>
  </si>
  <si>
    <t>Likely Role</t>
  </si>
  <si>
    <t>Salary Demand Tier</t>
  </si>
  <si>
    <t>Sponsor Value</t>
  </si>
  <si>
    <t>Willingness To Move</t>
  </si>
  <si>
    <t>Negotiation Difficulty</t>
  </si>
  <si>
    <t>Traits</t>
  </si>
  <si>
    <t>Game Notes</t>
  </si>
  <si>
    <t>Reserve/Test</t>
  </si>
  <si>
    <t>Yuki Tsunoda</t>
  </si>
  <si>
    <t>Red Bull reserve / F1-adjacent</t>
  </si>
  <si>
    <t>Reserve/Race Seat</t>
  </si>
  <si>
    <t>Aggressive; marketable; experience</t>
  </si>
  <si>
    <t>Ideal mid-season cover or Racing Bulls/Red Bull political option.</t>
  </si>
  <si>
    <t>Available Senior</t>
  </si>
  <si>
    <t>Daniel Ricciardo</t>
  </si>
  <si>
    <t>Available / media role</t>
  </si>
  <si>
    <t>Veteran/Reserve</t>
  </si>
  <si>
    <t>Charismatic; comeback; marketing</t>
  </si>
  <si>
    <t>High commercial value, lower long-term upside.</t>
  </si>
  <si>
    <t>Kevin Magnussen</t>
  </si>
  <si>
    <t>Denmark</t>
  </si>
  <si>
    <t>Sportscar / available</t>
  </si>
  <si>
    <t>Low-Medium</t>
  </si>
  <si>
    <t>Aggressive; experienced</t>
  </si>
  <si>
    <t>Cheap veteran stopgap.</t>
  </si>
  <si>
    <t>Zhou Guanyu</t>
  </si>
  <si>
    <t>Reserve/other series</t>
  </si>
  <si>
    <t>Pay Driver/Test</t>
  </si>
  <si>
    <t>Marketable; steady</t>
  </si>
  <si>
    <t>Useful commercial and reserve signing.</t>
  </si>
  <si>
    <t>Mick Schumacher</t>
  </si>
  <si>
    <t>Reserve/sportscar</t>
  </si>
  <si>
    <t>Legacy; technical feedback</t>
  </si>
  <si>
    <t>Good brand value and second-chance narrative.</t>
  </si>
  <si>
    <t>Jack Doohan</t>
  </si>
  <si>
    <t>Reserve / F1-adjacent</t>
  </si>
  <si>
    <t>Prospect/Test</t>
  </si>
  <si>
    <t>Young; Alpine links</t>
  </si>
  <si>
    <t>Development reserve with upside.</t>
  </si>
  <si>
    <t>Nyck de Vries</t>
  </si>
  <si>
    <t>Formula E / WEC</t>
  </si>
  <si>
    <t>Veteran/Test</t>
  </si>
  <si>
    <t>Technical; versatile</t>
  </si>
  <si>
    <t>Good simulator/test profile.</t>
  </si>
  <si>
    <t>Felipe Drugovich</t>
  </si>
  <si>
    <t>Reserve / endurance</t>
  </si>
  <si>
    <t>F2 champion; patient</t>
  </si>
  <si>
    <t>Ready reserve with credible race-seat case.</t>
  </si>
  <si>
    <t>Feeder Series</t>
  </si>
  <si>
    <t>Theo Pourchaire</t>
  </si>
  <si>
    <t>Super Formula/Reserve</t>
  </si>
  <si>
    <t>Prospect/Race Seat</t>
  </si>
  <si>
    <t>Champion pedigree</t>
  </si>
  <si>
    <t>High-quality junior/senior hybrid.</t>
  </si>
  <si>
    <t>Frederik Vesti</t>
  </si>
  <si>
    <t>Feeder/reserve</t>
  </si>
  <si>
    <t>Test/Reserve</t>
  </si>
  <si>
    <t>Mercedes junior; consistent</t>
  </si>
  <si>
    <t>Useful academy depth.</t>
  </si>
  <si>
    <t>Victor Martins</t>
  </si>
  <si>
    <t>Feeder series</t>
  </si>
  <si>
    <t>Prospect</t>
  </si>
  <si>
    <t>Fast; streaky</t>
  </si>
  <si>
    <t>High pace but needs polish.</t>
  </si>
  <si>
    <t>Paul Aron</t>
  </si>
  <si>
    <t>Estonia</t>
  </si>
  <si>
    <t>F2/Reserve</t>
  </si>
  <si>
    <t>Composed; efficient</t>
  </si>
  <si>
    <t>Good future signing.</t>
  </si>
  <si>
    <t>Dino Beganovic</t>
  </si>
  <si>
    <t>Sweden</t>
  </si>
  <si>
    <t>F2/Junior</t>
  </si>
  <si>
    <t>Ferrari junior; balanced</t>
  </si>
  <si>
    <t>High-quality academy target.</t>
  </si>
  <si>
    <t>Jak Crawford</t>
  </si>
  <si>
    <t>Prospect/Pay Driver</t>
  </si>
  <si>
    <t>US market; fast</t>
  </si>
  <si>
    <t>Good Cadillac/Williams market fit.</t>
  </si>
  <si>
    <t>Ayumu Iwasa</t>
  </si>
  <si>
    <t>Super Formula</t>
  </si>
  <si>
    <t>Prospect/Reserve</t>
  </si>
  <si>
    <t>Honda-linked; technical</t>
  </si>
  <si>
    <t>Aston/Honda-linked option.</t>
  </si>
  <si>
    <t>Alex Dunne</t>
  </si>
  <si>
    <t>Ireland</t>
  </si>
  <si>
    <t>Raw pace; aggressive</t>
  </si>
  <si>
    <t>High upside, needs development.</t>
  </si>
  <si>
    <t>Rafael Camara</t>
  </si>
  <si>
    <t>F3/F2 path</t>
  </si>
  <si>
    <t>Champion potential</t>
  </si>
  <si>
    <t>Long-term Ferrari/Brazilian market appeal.</t>
  </si>
  <si>
    <t>Ugo Ugochukwu</t>
  </si>
  <si>
    <t>US market; high ceiling</t>
  </si>
  <si>
    <t>Great US/Cadillac-linked prospect.</t>
  </si>
  <si>
    <t>Luke Browning</t>
  </si>
  <si>
    <t>Williams linked; consistent</t>
  </si>
  <si>
    <t>Good Williams reserve fit.</t>
  </si>
  <si>
    <t>Christian Mansell</t>
  </si>
  <si>
    <t>Racecraft; durable</t>
  </si>
  <si>
    <t>Midfield academy depth.</t>
  </si>
  <si>
    <t>IndyCar/CART</t>
  </si>
  <si>
    <t>Pato O'Ward</t>
  </si>
  <si>
    <t>IndyCar</t>
  </si>
  <si>
    <t>Race Seat/Marketing</t>
  </si>
  <si>
    <t>Fast; US/Mexico market</t>
  </si>
  <si>
    <t>High-profile crossover option.</t>
  </si>
  <si>
    <t>Colton Herta</t>
  </si>
  <si>
    <t>US star; aggressive</t>
  </si>
  <si>
    <t>Cadillac/Williams style US marketing signing.</t>
  </si>
  <si>
    <t>Alex Palou</t>
  </si>
  <si>
    <t>IndyCar champion</t>
  </si>
  <si>
    <t>Race Seat</t>
  </si>
  <si>
    <t>Champion; efficient</t>
  </si>
  <si>
    <t>Hard to sign but immediate F1 quality.</t>
  </si>
  <si>
    <t>Callum Ilott</t>
  </si>
  <si>
    <t>IndyCar/WEC</t>
  </si>
  <si>
    <t>F1-adjacent; technical</t>
  </si>
  <si>
    <t>Reliable reserve option.</t>
  </si>
  <si>
    <t>Endurance/Reserve</t>
  </si>
  <si>
    <t>Robert Shwartzman</t>
  </si>
  <si>
    <t>Israel</t>
  </si>
  <si>
    <t>Ferrari reserve/endurance</t>
  </si>
  <si>
    <t>Ferrari-linked; simulator</t>
  </si>
  <si>
    <t>Useful development role.</t>
  </si>
  <si>
    <t>Ryo Hirakawa</t>
  </si>
  <si>
    <t>Endurance/reserve</t>
  </si>
  <si>
    <t>Technical; mature</t>
  </si>
  <si>
    <t>Excellent testing/sim value.</t>
  </si>
  <si>
    <t>Pepe Martí</t>
  </si>
  <si>
    <t>Spanish market; developing</t>
  </si>
  <si>
    <t>Madrid-era prospect hook.</t>
  </si>
  <si>
    <t>Sami Meguetounif</t>
  </si>
  <si>
    <t>Raw; physical</t>
  </si>
  <si>
    <t>Development depth.</t>
  </si>
  <si>
    <t>Gabriele Mini</t>
  </si>
  <si>
    <t>Qualifying pace; high ceiling</t>
  </si>
  <si>
    <t>Strong academy option.</t>
  </si>
  <si>
    <t>Sebastian Montoya</t>
  </si>
  <si>
    <t>Colombia/USA</t>
  </si>
  <si>
    <t>Prospect/Marketing</t>
  </si>
  <si>
    <t>Legacy; marketable</t>
  </si>
  <si>
    <t>Development plus North/South American appeal.</t>
  </si>
  <si>
    <t>2026 Youth Academy Prospects (Generated/Fictionalized)</t>
  </si>
  <si>
    <t>Prospect Type</t>
  </si>
  <si>
    <t>Name</t>
  </si>
  <si>
    <t>Current Level</t>
  </si>
  <si>
    <t>Raw Pace</t>
  </si>
  <si>
    <t>Racecraft</t>
  </si>
  <si>
    <t>Adaptability</t>
  </si>
  <si>
    <t>Composure</t>
  </si>
  <si>
    <t>Development Rate</t>
  </si>
  <si>
    <t>Funding Need</t>
  </si>
  <si>
    <t>Signing Cost ($M)</t>
  </si>
  <si>
    <t>Yearly Academy Cost ($M)</t>
  </si>
  <si>
    <t>Years Until F1 Ready</t>
  </si>
  <si>
    <t>Risk Level</t>
  </si>
  <si>
    <t>Generated</t>
  </si>
  <si>
    <t>Mateo Alvarez</t>
  </si>
  <si>
    <t>F4/Karting graduate</t>
  </si>
  <si>
    <t>Madrid market; adaptable</t>
  </si>
  <si>
    <t>Generated for future-mode academy.</t>
  </si>
  <si>
    <t>Noah Ricci</t>
  </si>
  <si>
    <t>Senior Karting</t>
  </si>
  <si>
    <t>Raw pace; Italian federation</t>
  </si>
  <si>
    <t>High ceiling, high variance.</t>
  </si>
  <si>
    <t>Ethan Brooks</t>
  </si>
  <si>
    <t>F4</t>
  </si>
  <si>
    <t>Composed; wet weather</t>
  </si>
  <si>
    <t>Good academy all-rounder.</t>
  </si>
  <si>
    <t>Luca Weber</t>
  </si>
  <si>
    <t>Junior Karting</t>
  </si>
  <si>
    <t>Technical; disciplined</t>
  </si>
  <si>
    <t>Audi-style long-term prospect.</t>
  </si>
  <si>
    <t>Rafael Costa</t>
  </si>
  <si>
    <t>Aggressive; high pace</t>
  </si>
  <si>
    <t>Potential future Brazilian star.</t>
  </si>
  <si>
    <t>Finn O'Connor</t>
  </si>
  <si>
    <t>Consistent; low risk</t>
  </si>
  <si>
    <t>Safer development profile.</t>
  </si>
  <si>
    <t>Sofia Moretti</t>
  </si>
  <si>
    <t>F4/F1 Academy path</t>
  </si>
  <si>
    <t>Composed; marketable</t>
  </si>
  <si>
    <t>Generated academy prospect.</t>
  </si>
  <si>
    <t>Kai Nakamura</t>
  </si>
  <si>
    <t>Honda links; adaptable</t>
  </si>
  <si>
    <t>Aston/Honda development hook.</t>
  </si>
  <si>
    <t>Emil Jensen</t>
  </si>
  <si>
    <t>Methodical; coachable</t>
  </si>
  <si>
    <t>Budget-friendly long-term pick.</t>
  </si>
  <si>
    <t>Maxwell Carter</t>
  </si>
  <si>
    <t>F4/USF Juniors</t>
  </si>
  <si>
    <t>US market; brave</t>
  </si>
  <si>
    <t>Cadillac/Williams future market hook.</t>
  </si>
  <si>
    <t>Thiago Silva</t>
  </si>
  <si>
    <t>Portugal</t>
  </si>
  <si>
    <t>Late braker; adaptable</t>
  </si>
  <si>
    <t>Good growth option.</t>
  </si>
  <si>
    <t>Mila Schneider</t>
  </si>
  <si>
    <t>Switzerland</t>
  </si>
  <si>
    <t>Composure; technical</t>
  </si>
  <si>
    <t>High development rate.</t>
  </si>
  <si>
    <t>Hugo Dubois</t>
  </si>
  <si>
    <t>Racecraft; consistent</t>
  </si>
  <si>
    <t>Alpine/RB academy fit.</t>
  </si>
  <si>
    <t>Arman Khan</t>
  </si>
  <si>
    <t>India</t>
  </si>
  <si>
    <t>Marketable; fast learner</t>
  </si>
  <si>
    <t>Emerging-market academy hook.</t>
  </si>
  <si>
    <t>Elias Korhonen</t>
  </si>
  <si>
    <t>Cool under pressure</t>
  </si>
  <si>
    <t>Classic Finnish composure profile.</t>
  </si>
  <si>
    <t>2026 Regulation / Schedule / Rule Changes</t>
  </si>
  <si>
    <t>Category</t>
  </si>
  <si>
    <t>Change/Event</t>
  </si>
  <si>
    <t>Impact on Game</t>
  </si>
  <si>
    <t>Carryover/Formula Hook</t>
  </si>
  <si>
    <t>Source URL/Note</t>
  </si>
  <si>
    <t>Schedule</t>
  </si>
  <si>
    <t>Original 24-race calendar announced with Bahrain and Saudi Arabia in April.</t>
  </si>
  <si>
    <t>Use for preseason planning; then apply cancellation event if using active/live 2026 start.</t>
  </si>
  <si>
    <t>Calendar generator should support planned vs active calendars.</t>
  </si>
  <si>
    <t>https://www.formula1.com/en/latest/article/formula-1-reveals-calendar-for-2026-season.YctbMZWqBvrgyddrnauo8</t>
  </si>
  <si>
    <t>Bahrain and Saudi Arabian GPs cancelled in March 2026; active calendar drops to 22 races.</t>
  </si>
  <si>
    <t>Remove Rounds 4-5 from active 2026; creates five-week development break between Japan and Miami.</t>
  </si>
  <si>
    <t>Midseason development acceleration/event downtime.</t>
  </si>
  <si>
    <t>https://www.reuters.com/sports/formula1/f1-calls-off-april-races-bahrain-saudi-arabia-2026-03-14/</t>
  </si>
  <si>
    <t>Madrid joins the calendar as the second Spanish GP, replacing the old late-season slot style with a new urban venue.</t>
  </si>
  <si>
    <t>Use provisional track ratings; new-track uncertainty should increase setup variance.</t>
  </si>
  <si>
    <t>New venue: +setup uncertainty, +sim data value, +practice impact.</t>
  </si>
  <si>
    <t>Teams</t>
  </si>
  <si>
    <t>Cadillac joins as 11th constructor with Perez/Bottas and Ferrari power.</t>
  </si>
  <si>
    <t>22-car grid; new-team low baseline but high facility/funding growth.</t>
  </si>
  <si>
    <t>New entrant modifier: low integration, high long-term budget/facility upside.</t>
  </si>
  <si>
    <t>https://www.fia.com/news/f1s-new-era-everything-you-need-know-about-how-fia-making-formula-1-more-competitive-more</t>
  </si>
  <si>
    <t>Audi becomes full works team from Sauber lineage.</t>
  </si>
  <si>
    <t>Audi has low first-year car score but high factory upside.</t>
  </si>
  <si>
    <t>Works entrant carryover boost for 2027+.</t>
  </si>
  <si>
    <t>Power Units</t>
  </si>
  <si>
    <t>New 2026 PU retains 1.6L V6 hybrid but removes MGU-H and greatly increases battery/electric power.</t>
  </si>
  <si>
    <t>Add Electrical Deployment and Energy Management ratings as core car attributes.</t>
  </si>
  <si>
    <t>Previous engine-power development carries over weakly; new PU integration matters heavily.</t>
  </si>
  <si>
    <t>ICE output reduced while battery output rises to 350kW; roughly even ICE/electric emphasis.</t>
  </si>
  <si>
    <t>Strategy should model battery deployment, lift/coast, active aero use, and overtaking energy.</t>
  </si>
  <si>
    <t>Development categories: ICE, ERS, cooling, energy deployment.</t>
  </si>
  <si>
    <t>Aero</t>
  </si>
  <si>
    <t>DRS replaced by active aero Straight Mode and Corner Mode.</t>
  </si>
  <si>
    <t>In-race decisions and AI strategy should include active-aero/energy deployment tradeoffs.</t>
  </si>
  <si>
    <t>Track straights/power demand now interact strongly with electrical deployment.</t>
  </si>
  <si>
    <t>Overtaking</t>
  </si>
  <si>
    <t>Overtake Mode provides extra electrical energy when within activation criteria.</t>
  </si>
  <si>
    <t>Battle engine should use following-car energy boost rather than classic DRS.</t>
  </si>
  <si>
    <t>Overtaking/Racecraft + energy management + track straights.</t>
  </si>
  <si>
    <t>Sustainability</t>
  </si>
  <si>
    <t>Advanced sustainable fuels mandated.</t>
  </si>
  <si>
    <t>Fuel supplier/chemistry can become a long-term supplier system.</t>
  </si>
  <si>
    <t>Fuel efficiency and reliability development path.</t>
  </si>
  <si>
    <t>Safety</t>
  </si>
  <si>
    <t>Revised impact structures, increased side intrusion protection, higher roll hoop test loads, ERS status lights.</t>
  </si>
  <si>
    <t>Crash outcomes should be safer; repair costs and safety compliance matter.</t>
  </si>
  <si>
    <t>Regulation compliance spending in offseason.</t>
  </si>
  <si>
    <t>Game Mode</t>
  </si>
  <si>
    <t>Current Era Career start added.</t>
  </si>
  <si>
    <t>Player can start in 2026 with current grid/current rules or continue from historical save into generated 2026.</t>
  </si>
  <si>
    <t>If no historical save: initialize 2026 as current baseline and generate 2027+.</t>
  </si>
  <si>
    <t>Internal game design</t>
  </si>
  <si>
    <t>2026 Current/Future Era Career Mode Hooks</t>
  </si>
  <si>
    <t>System</t>
  </si>
  <si>
    <t>2026 Starting Value/Rule</t>
  </si>
  <si>
    <t>Future Career Hook</t>
  </si>
  <si>
    <t>Implementation Note</t>
  </si>
  <si>
    <t>Career Start Type</t>
  </si>
  <si>
    <t>Current Era Career</t>
  </si>
  <si>
    <t>Start at 2026 without needing historical 1994-2000 save.</t>
  </si>
  <si>
    <t>Add start mode: Historical Start OR Current Era Start.</t>
  </si>
  <si>
    <t>Calendar Generation</t>
  </si>
  <si>
    <t>22-race active calendar</t>
  </si>
  <si>
    <t>2027+ can restore/cancel races, add Portugal, rotate venues, or generate custom future calendars.</t>
  </si>
  <si>
    <t>Use calendar status fields: Scheduled, Completed, Cancelled, Provisional.</t>
  </si>
  <si>
    <t>Regulations</t>
  </si>
  <si>
    <t>New 2026 rules baseline</t>
  </si>
  <si>
    <t>2027+ tweaks can rebalance ICE/electric output and active aero rules.</t>
  </si>
  <si>
    <t>Use RegulationSet model with carryover modifiers.</t>
  </si>
  <si>
    <t>Mercedes, Ferrari, Audi, Honda, RBPT-Ford, Ferrari-Cadillac</t>
  </si>
  <si>
    <t>Supplier performance can rise/fall annually; GM/Cadillac PU from 2029 hook.</t>
  </si>
  <si>
    <t>Add PowerUnitSupplier table later.</t>
  </si>
  <si>
    <t>11 teams / 22 drivers</t>
  </si>
  <si>
    <t>Future generated teams or dropped teams possible.</t>
  </si>
  <si>
    <t>Team model should support active/inactive status.</t>
  </si>
  <si>
    <t>Driver Market</t>
  </si>
  <si>
    <t>Modern grid + market drivers</t>
  </si>
  <si>
    <t>Contracts, academy graduates, IndyCar transfers, F2 promotions.</t>
  </si>
  <si>
    <t>Use contracts/future-signings persisted in save.</t>
  </si>
  <si>
    <t>Academy</t>
  </si>
  <si>
    <t>Generated under-18 prospects</t>
  </si>
  <si>
    <t>Youth drivers age, move to F4/F3/F2, become reserve, then F1 ready.</t>
  </si>
  <si>
    <t>Progress academy each season, not each race only.</t>
  </si>
  <si>
    <t>Live Race</t>
  </si>
  <si>
    <t>Active aero and energy modes</t>
  </si>
  <si>
    <t>Future rules can modify overtake behavior, deploy windows and efficiency.</t>
  </si>
  <si>
    <t>Race engine should use energyDeployment and activeAero fields.</t>
  </si>
  <si>
    <t>Offseason</t>
  </si>
  <si>
    <t>Major new-regs uncertainty behind baseline</t>
  </si>
  <si>
    <t>2027 offseason should include regulation tweak/news and supplier progress.</t>
  </si>
  <si>
    <t>Generate offseason news from RegulationChangeEvent.</t>
  </si>
  <si>
    <t>2026 Points System</t>
  </si>
  <si>
    <t>Position</t>
  </si>
  <si>
    <t>Race Points</t>
  </si>
  <si>
    <t>Sprint Points</t>
  </si>
  <si>
    <t>Modern FIA-style points baseline</t>
  </si>
  <si>
    <t>Fastest Lap</t>
  </si>
  <si>
    <t>No fastest-lap point in current modern baseline unless your game adds it as optional rule.</t>
  </si>
  <si>
    <t>Rating Key</t>
  </si>
  <si>
    <t>Field</t>
  </si>
  <si>
    <t>Scale / Meaning</t>
  </si>
  <si>
    <t>Game Use</t>
  </si>
  <si>
    <t>Track Ratings</t>
  </si>
  <si>
    <t>1-10 where 10 means maximum demand</t>
  </si>
  <si>
    <t>Used in qualifying/race/AI strategy/reliability formulas.</t>
  </si>
  <si>
    <t>Formula = average(Corners, Technical, Elevation)</t>
  </si>
  <si>
    <t>Rewards aero efficiency/downforce and high-speed stability.</t>
  </si>
  <si>
    <t>Formula = Straights</t>
  </si>
  <si>
    <t>Rewards engine power and electrical deployment.</t>
  </si>
  <si>
    <t>Formula = average(Traction, Surface, Corners)</t>
  </si>
  <si>
    <t>Rewards suspension, traction and tyre platform.</t>
  </si>
  <si>
    <t>Formula = average(Risk, Endurance, Braking)</t>
  </si>
  <si>
    <t>Feeds mistake, SC, crash and reliability risks.</t>
  </si>
  <si>
    <t>Driver Ratings</t>
  </si>
  <si>
    <t>1-10 simulation ratings</t>
  </si>
  <si>
    <t>Not official; tuned for game balance.</t>
  </si>
  <si>
    <t>1-10 future ceiling</t>
  </si>
  <si>
    <t>Used for development, contracts and academy progression.</t>
  </si>
  <si>
    <t>Team Car Ratings</t>
  </si>
  <si>
    <t>1-10 current-season car/team attributes</t>
  </si>
  <si>
    <t>In 2026 add Electrical Deployment and Energy Management to standard car model.</t>
  </si>
  <si>
    <t>Youth Prospects</t>
  </si>
  <si>
    <t>Generated/fictionalized pool</t>
  </si>
  <si>
    <t>Allows future careers without relying only on known real juniors.</t>
  </si>
  <si>
    <t>Sources</t>
  </si>
  <si>
    <t>Source</t>
  </si>
  <si>
    <t>URL</t>
  </si>
  <si>
    <t>Workbook Usage</t>
  </si>
  <si>
    <t>Formula 1 official 2026 calendar article</t>
  </si>
  <si>
    <t>Original 24-race calendar, sprint weekends, Madrid debut.</t>
  </si>
  <si>
    <t>Formula 1 official 2026 active race calendar</t>
  </si>
  <si>
    <t>https://www.formula1.com/en/racing/2026</t>
  </si>
  <si>
    <t>Active 2026 calendar, completed race winners through Austria.</t>
  </si>
  <si>
    <t>Formula 1 official 2026 drivers page</t>
  </si>
  <si>
    <t>https://www.formula1.com/en/drivers</t>
  </si>
  <si>
    <t>Driver/team lineups.</t>
  </si>
  <si>
    <t>Formula 1 official 2026 teams page</t>
  </si>
  <si>
    <t>https://www.formula1.com/en/teams</t>
  </si>
  <si>
    <t>Team/driver pairings.</t>
  </si>
  <si>
    <t>Formula 1 official 2026 drivers standings</t>
  </si>
  <si>
    <t>https://www.formula1.com/en/results/2026/drivers</t>
  </si>
  <si>
    <t>Current standings through Austrian GP.</t>
  </si>
  <si>
    <t>Formula 1 official 2026 team standings</t>
  </si>
  <si>
    <t>https://www.formula1.com/en/results/2026/team</t>
  </si>
  <si>
    <t>Current constructor standings through Austrian GP.</t>
  </si>
  <si>
    <t>FIA 2026 regulations explainer</t>
  </si>
  <si>
    <t>Active aero, PU changes, sustainable fuels, safety changes, Cadillac/Audi context.</t>
  </si>
  <si>
    <t>Formula 1 2026 regulations page</t>
  </si>
  <si>
    <t>https://www.formula1.com/en/page/2026-f1-regulations</t>
  </si>
  <si>
    <t>F1's public 2026 regulation hub.</t>
  </si>
  <si>
    <t>Reuters Bahrain/Saudi cancellation</t>
  </si>
  <si>
    <t>Active calendar reduction from 24 to 22 races.</t>
  </si>
  <si>
    <t>FIA regulations category</t>
  </si>
  <si>
    <t>https://www.fia.com/regulation/category/110</t>
  </si>
  <si>
    <t>Technical/sporting/financial regulation documents 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</si>
</sst>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C2D12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2:B10">
  <tableColumns count="2">
    <tableColumn id="1" xr3:uid="{00000000-0010-0000-0000-000001000000}" name="Section"/>
    <tableColumn id="2" xr3:uid="{00000000-0010-0000-0000-000002000000}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arTrackRatings2026" displayName="CalendarTrackRatings2026" ref="A2:AB24">
  <tableColumns count="28">
    <tableColumn id="1" xr3:uid="{00000000-0010-0000-0100-000001000000}" name="Round"/>
    <tableColumn id="2" xr3:uid="{00000000-0010-0000-0100-000002000000}" name="GP Name"/>
    <tableColumn id="3" xr3:uid="{00000000-0010-0000-0100-000003000000}" name="Track"/>
    <tableColumn id="4" xr3:uid="{00000000-0010-0000-0100-000004000000}" name="Country"/>
    <tableColumn id="5" xr3:uid="{00000000-0010-0000-0100-000005000000}" name="Date"/>
    <tableColumn id="6" xr3:uid="{00000000-0010-0000-0100-000006000000}" name="Status"/>
    <tableColumn id="7" xr3:uid="{00000000-0010-0000-0100-000007000000}" name="Sprint Weekend"/>
    <tableColumn id="8" xr3:uid="{00000000-0010-0000-0100-000008000000}" name="Laps"/>
    <tableColumn id="9" xr3:uid="{00000000-0010-0000-0100-000009000000}" name="KM"/>
    <tableColumn id="10" xr3:uid="{00000000-0010-0000-0100-00000A000000}" name="Track Archetype"/>
    <tableColumn id="11" xr3:uid="{00000000-0010-0000-0100-00000B000000}" name="Corners"/>
    <tableColumn id="12" xr3:uid="{00000000-0010-0000-0100-00000C000000}" name="Braking"/>
    <tableColumn id="13" xr3:uid="{00000000-0010-0000-0100-00000D000000}" name="Straights"/>
    <tableColumn id="14" xr3:uid="{00000000-0010-0000-0100-00000E000000}" name="Traction/Acceleration"/>
    <tableColumn id="15" xr3:uid="{00000000-0010-0000-0100-00000F000000}" name="Elevation &amp; Blind Corner"/>
    <tableColumn id="16" xr3:uid="{00000000-0010-0000-0100-000010000000}" name="Technical"/>
    <tableColumn id="17" xr3:uid="{00000000-0010-0000-0100-000011000000}" name="Overtaking/Racecraft"/>
    <tableColumn id="18" xr3:uid="{00000000-0010-0000-0100-000012000000}" name="Surface Grip &amp; Bumpiness"/>
    <tableColumn id="19" xr3:uid="{00000000-0010-0000-0100-000013000000}" name="Risk/Wall Proximity"/>
    <tableColumn id="20" xr3:uid="{00000000-0010-0000-0100-000014000000}" name="Endurance/Consistency"/>
    <tableColumn id="21" xr3:uid="{00000000-0010-0000-0100-000015000000}" name="Aero Demand"/>
    <tableColumn id="22" xr3:uid="{00000000-0010-0000-0100-000016000000}" name="Power Demand"/>
    <tableColumn id="23" xr3:uid="{00000000-0010-0000-0100-000017000000}" name="Mechanical Demand"/>
    <tableColumn id="24" xr3:uid="{00000000-0010-0000-0100-000018000000}" name="Risk Demand"/>
    <tableColumn id="25" xr3:uid="{00000000-0010-0000-0100-000019000000}" name="Recommended Downforce"/>
    <tableColumn id="26" xr3:uid="{00000000-0010-0000-0100-00001A000000}" name="Strategy Notes"/>
    <tableColumn id="27" xr3:uid="{00000000-0010-0000-0100-00001B000000}" name="Winner/Baseline"/>
    <tableColumn id="28" xr3:uid="{00000000-0010-0000-0100-00001C000000}" name="Source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riverRatings2026" displayName="DriverRatings2026" ref="A2:V24">
  <tableColumns count="22">
    <tableColumn id="1" xr3:uid="{00000000-0010-0000-0200-000001000000}" name="Team"/>
    <tableColumn id="2" xr3:uid="{00000000-0010-0000-0200-000002000000}" name="Driver"/>
    <tableColumn id="3" xr3:uid="{00000000-0010-0000-0200-000003000000}" name="Nationality"/>
    <tableColumn id="4" xr3:uid="{00000000-0010-0000-0200-000004000000}" name="Age"/>
    <tableColumn id="5" xr3:uid="{00000000-0010-0000-0200-000005000000}" name="Current Points"/>
    <tableColumn id="6" xr3:uid="{00000000-0010-0000-0200-000006000000}" name="Current Standings Pos"/>
    <tableColumn id="7" xr3:uid="{00000000-0010-0000-0200-000007000000}" name="Corners"/>
    <tableColumn id="8" xr3:uid="{00000000-0010-0000-0200-000008000000}" name="Braking"/>
    <tableColumn id="9" xr3:uid="{00000000-0010-0000-0200-000009000000}" name="Straights"/>
    <tableColumn id="10" xr3:uid="{00000000-0010-0000-0200-00000A000000}" name="Traction/Acceleration"/>
    <tableColumn id="11" xr3:uid="{00000000-0010-0000-0200-00000B000000}" name="Elevation &amp; Blind Corner"/>
    <tableColumn id="12" xr3:uid="{00000000-0010-0000-0200-00000C000000}" name="Technical"/>
    <tableColumn id="13" xr3:uid="{00000000-0010-0000-0200-00000D000000}" name="Overtaking/Racecraft"/>
    <tableColumn id="14" xr3:uid="{00000000-0010-0000-0200-00000E000000}" name="Surface Grip &amp; Bumpiness"/>
    <tableColumn id="15" xr3:uid="{00000000-0010-0000-0200-00000F000000}" name="Risk Management"/>
    <tableColumn id="16" xr3:uid="{00000000-0010-0000-0200-000010000000}" name="Endurance/Consistency"/>
    <tableColumn id="17" xr3:uid="{00000000-0010-0000-0200-000011000000}" name="Qualifying"/>
    <tableColumn id="18" xr3:uid="{00000000-0010-0000-0200-000012000000}" name="Race Pace"/>
    <tableColumn id="19" xr3:uid="{00000000-0010-0000-0200-000013000000}" name="Overall Rating"/>
    <tableColumn id="20" xr3:uid="{00000000-0010-0000-0200-000014000000}" name="Potential Rating"/>
    <tableColumn id="21" xr3:uid="{00000000-0010-0000-0200-000015000000}" name="Market Status"/>
    <tableColumn id="22" xr3:uid="{00000000-0010-0000-0200-00001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amCarRatings2026" displayName="TeamCarRatings2026" ref="A2:P13">
  <tableColumns count="16">
    <tableColumn id="1" xr3:uid="{00000000-0010-0000-0300-000001000000}" name="Team"/>
    <tableColumn id="2" xr3:uid="{00000000-0010-0000-0300-000002000000}" name="Power Unit"/>
    <tableColumn id="3" xr3:uid="{00000000-0010-0000-0300-000003000000}" name="Drivers"/>
    <tableColumn id="4" xr3:uid="{00000000-0010-0000-0300-000004000000}" name="Current Constructors Points"/>
    <tableColumn id="5" xr3:uid="{00000000-0010-0000-0300-000005000000}" name="Current Constructors Pos"/>
    <tableColumn id="6" xr3:uid="{00000000-0010-0000-0300-000006000000}" name="Engine Power"/>
    <tableColumn id="7" xr3:uid="{00000000-0010-0000-0300-000007000000}" name="Electrical Deployment"/>
    <tableColumn id="8" xr3:uid="{00000000-0010-0000-0300-000008000000}" name="Aero Efficiency"/>
    <tableColumn id="9" xr3:uid="{00000000-0010-0000-0300-000009000000}" name="Mechanical Grip"/>
    <tableColumn id="10" xr3:uid="{00000000-0010-0000-0300-00000A000000}" name="Reliability"/>
    <tableColumn id="11" xr3:uid="{00000000-0010-0000-0300-00000B000000}" name="Pit Crew/Operations"/>
    <tableColumn id="12" xr3:uid="{00000000-0010-0000-0300-00000C000000}" name="Energy Management"/>
    <tableColumn id="13" xr3:uid="{00000000-0010-0000-0300-00000D000000}" name="Tyre Management"/>
    <tableColumn id="14" xr3:uid="{00000000-0010-0000-0300-00000E000000}" name="Budget/Facilities"/>
    <tableColumn id="15" xr3:uid="{00000000-0010-0000-0300-00000F000000}" name="Car Score"/>
    <tableColumn id="16" xr3:uid="{00000000-0010-0000-0300-000010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riverMarket2026" displayName="DriverMarket2026" ref="A2:N32">
  <tableColumns count="14">
    <tableColumn id="1" xr3:uid="{00000000-0010-0000-0400-000001000000}" name="Pool"/>
    <tableColumn id="2" xr3:uid="{00000000-0010-0000-0400-000002000000}" name="Driver"/>
    <tableColumn id="3" xr3:uid="{00000000-0010-0000-0400-000003000000}" name="Nationality"/>
    <tableColumn id="4" xr3:uid="{00000000-0010-0000-0400-000004000000}" name="Age"/>
    <tableColumn id="5" xr3:uid="{00000000-0010-0000-0400-000005000000}" name="Current Series/Status"/>
    <tableColumn id="6" xr3:uid="{00000000-0010-0000-0400-000006000000}" name="Likely Role"/>
    <tableColumn id="7" xr3:uid="{00000000-0010-0000-0400-000007000000}" name="Overall Rating"/>
    <tableColumn id="8" xr3:uid="{00000000-0010-0000-0400-000008000000}" name="Potential Rating"/>
    <tableColumn id="9" xr3:uid="{00000000-0010-0000-0400-000009000000}" name="Salary Demand Tier"/>
    <tableColumn id="10" xr3:uid="{00000000-0010-0000-0400-00000A000000}" name="Sponsor Value"/>
    <tableColumn id="11" xr3:uid="{00000000-0010-0000-0400-00000B000000}" name="Willingness To Move"/>
    <tableColumn id="12" xr3:uid="{00000000-0010-0000-0400-00000C000000}" name="Negotiation Difficulty"/>
    <tableColumn id="13" xr3:uid="{00000000-0010-0000-0400-00000D000000}" name="Traits"/>
    <tableColumn id="14" xr3:uid="{00000000-0010-0000-0400-00000E000000}" name="Game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YouthProspects2026" displayName="YouthProspects2026" ref="A2:R17">
  <tableColumns count="18">
    <tableColumn id="1" xr3:uid="{00000000-0010-0000-0500-000001000000}" name="Prospect Type"/>
    <tableColumn id="2" xr3:uid="{00000000-0010-0000-0500-000002000000}" name="Name"/>
    <tableColumn id="3" xr3:uid="{00000000-0010-0000-0500-000003000000}" name="Nationality"/>
    <tableColumn id="4" xr3:uid="{00000000-0010-0000-0500-000004000000}" name="Age"/>
    <tableColumn id="5" xr3:uid="{00000000-0010-0000-0500-000005000000}" name="Current Level"/>
    <tableColumn id="6" xr3:uid="{00000000-0010-0000-0500-000006000000}" name="Raw Pace"/>
    <tableColumn id="7" xr3:uid="{00000000-0010-0000-0500-000007000000}" name="Racecraft"/>
    <tableColumn id="8" xr3:uid="{00000000-0010-0000-0500-000008000000}" name="Adaptability"/>
    <tableColumn id="9" xr3:uid="{00000000-0010-0000-0500-000009000000}" name="Composure"/>
    <tableColumn id="10" xr3:uid="{00000000-0010-0000-0500-00000A000000}" name="Development Rate"/>
    <tableColumn id="11" xr3:uid="{00000000-0010-0000-0500-00000B000000}" name="Potential Rating"/>
    <tableColumn id="12" xr3:uid="{00000000-0010-0000-0500-00000C000000}" name="Funding Need"/>
    <tableColumn id="13" xr3:uid="{00000000-0010-0000-0500-00000D000000}" name="Signing Cost ($M)"/>
    <tableColumn id="14" xr3:uid="{00000000-0010-0000-0500-00000E000000}" name="Yearly Academy Cost ($M)"/>
    <tableColumn id="15" xr3:uid="{00000000-0010-0000-0500-00000F000000}" name="Years Until F1 Ready"/>
    <tableColumn id="16" xr3:uid="{00000000-0010-0000-0500-000010000000}" name="Risk Level"/>
    <tableColumn id="17" xr3:uid="{00000000-0010-0000-0500-000011000000}" name="Traits"/>
    <tableColumn id="18" xr3:uid="{00000000-0010-0000-0500-000012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gChanges2026" displayName="RegChanges2026" ref="A2:E14">
  <tableColumns count="5">
    <tableColumn id="1" xr3:uid="{00000000-0010-0000-0600-000001000000}" name="Category"/>
    <tableColumn id="2" xr3:uid="{00000000-0010-0000-0600-000002000000}" name="Change/Event"/>
    <tableColumn id="3" xr3:uid="{00000000-0010-0000-0600-000003000000}" name="Impact on Game"/>
    <tableColumn id="4" xr3:uid="{00000000-0010-0000-0600-000004000000}" name="Carryover/Formula Hook"/>
    <tableColumn id="5" xr3:uid="{00000000-0010-0000-0600-000005000000}" name="Source URL/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utureModeHooks2026" displayName="FutureModeHooks2026" ref="A2:D11">
  <tableColumns count="4">
    <tableColumn id="1" xr3:uid="{00000000-0010-0000-0700-000001000000}" name="System"/>
    <tableColumn id="2" xr3:uid="{00000000-0010-0000-0700-000002000000}" name="2026 Starting Value/Rule"/>
    <tableColumn id="3" xr3:uid="{00000000-0010-0000-0700-000003000000}" name="Future Career Hook"/>
    <tableColumn id="4" xr3:uid="{00000000-0010-0000-0700-000004000000}" name="Implementation 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ointsSystem2026" displayName="PointsSystem2026" ref="A2:D13">
  <tableColumns count="4">
    <tableColumn id="1" xr3:uid="{00000000-0010-0000-0800-000001000000}" name="Position"/>
    <tableColumn id="2" xr3:uid="{00000000-0010-0000-0800-000002000000}" name="Race Points"/>
    <tableColumn id="3" xr3:uid="{00000000-0010-0000-0800-000003000000}" name="Sprint Points"/>
    <tableColumn id="4" xr3:uid="{00000000-0010-0000-0800-000004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atingKey2026" displayName="RatingKey2026" ref="A2:C11">
  <tableColumns count="3">
    <tableColumn id="1" xr3:uid="{00000000-0010-0000-0900-000001000000}" name="Field"/>
    <tableColumn id="2" xr3:uid="{00000000-0010-0000-0900-000002000000}" name="Scale / Meaning"/>
    <tableColumn id="3" xr3:uid="{00000000-0010-0000-0900-000003000000}" name="Game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s2026" displayName="Sources2026" ref="A2:C12">
  <tableColumns count="3">
    <tableColumn id="1" xr3:uid="{00000000-0010-0000-0A00-000001000000}" name="Source"/>
    <tableColumn id="2" xr3:uid="{00000000-0010-0000-0A00-000002000000}" name="URL"/>
    <tableColumn id="3" xr3:uid="{00000000-0010-0000-0A00-000003000000}" name="Workbook 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4.25"/>
  <cols>
    <col min="1" max="1" width="24" customWidth="1"/>
    <col min="2" max="2" width="95" customWidth="1"/>
  </cols>
  <sheetData>
    <row r="1" spans="1:2">
      <c r="A1" s="3" t="s">
        <v>0</v>
      </c>
      <c r="B1" s="4"/>
    </row>
    <row r="2" spans="1:2" ht="15">
      <c r="A2" s="1" t="s">
        <v>1</v>
      </c>
      <c r="B2" s="1" t="s">
        <v>2</v>
      </c>
    </row>
    <row r="3" spans="1:2">
      <c r="A3" s="2" t="s">
        <v>3</v>
      </c>
      <c r="B3" s="2" t="s">
        <v>0</v>
      </c>
    </row>
    <row r="4" spans="1:2" ht="28.5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 ht="28.5">
      <c r="A6" s="2" t="s">
        <v>8</v>
      </c>
      <c r="B6" s="2" t="s">
        <v>9</v>
      </c>
    </row>
    <row r="7" spans="1:2" ht="28.5">
      <c r="A7" s="2" t="s">
        <v>10</v>
      </c>
      <c r="B7" s="2" t="s">
        <v>11</v>
      </c>
    </row>
    <row r="8" spans="1:2" ht="28.5">
      <c r="A8" s="2" t="s">
        <v>12</v>
      </c>
      <c r="B8" s="2" t="s">
        <v>13</v>
      </c>
    </row>
    <row r="9" spans="1:2" ht="28.5">
      <c r="A9" s="2" t="s">
        <v>14</v>
      </c>
      <c r="B9" s="2" t="s">
        <v>15</v>
      </c>
    </row>
    <row r="10" spans="1:2" ht="28.5">
      <c r="A10" s="2" t="s">
        <v>16</v>
      </c>
      <c r="B10" s="2" t="s">
        <v>17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4"/>
  <sheetViews>
    <sheetView tabSelected="1" topLeftCell="A5" workbookViewId="0">
      <selection activeCell="J12" sqref="J12"/>
    </sheetView>
  </sheetViews>
  <sheetFormatPr defaultRowHeight="14.25"/>
  <cols>
    <col min="1" max="1" width="7" customWidth="1"/>
    <col min="2" max="2" width="25" customWidth="1"/>
    <col min="3" max="3" width="28" customWidth="1"/>
    <col min="4" max="5" width="14" customWidth="1"/>
    <col min="6" max="7" width="12" customWidth="1"/>
    <col min="8" max="9" width="8" customWidth="1"/>
    <col min="10" max="10" width="28" customWidth="1"/>
    <col min="11" max="13" width="10" customWidth="1"/>
    <col min="14" max="15" width="16" customWidth="1"/>
    <col min="16" max="16" width="10" customWidth="1"/>
    <col min="17" max="20" width="16" customWidth="1"/>
    <col min="21" max="22" width="12" customWidth="1"/>
    <col min="23" max="23" width="14" customWidth="1"/>
    <col min="24" max="24" width="12" customWidth="1"/>
    <col min="25" max="25" width="16" customWidth="1"/>
    <col min="26" max="26" width="46" customWidth="1"/>
    <col min="27" max="27" width="18" customWidth="1"/>
    <col min="28" max="28" width="32" customWidth="1"/>
  </cols>
  <sheetData>
    <row r="1" spans="1:28">
      <c r="A1" s="3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30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</row>
    <row r="3" spans="1:28" ht="28.5">
      <c r="A3" s="2">
        <v>1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>
        <v>58</v>
      </c>
      <c r="I3" s="2">
        <v>5.2779999999999996</v>
      </c>
      <c r="J3" s="2" t="s">
        <v>53</v>
      </c>
      <c r="K3" s="2">
        <v>7</v>
      </c>
      <c r="L3" s="2">
        <v>7</v>
      </c>
      <c r="M3" s="2">
        <v>6</v>
      </c>
      <c r="N3" s="2">
        <v>7</v>
      </c>
      <c r="O3" s="2">
        <v>5</v>
      </c>
      <c r="P3" s="2">
        <v>6</v>
      </c>
      <c r="Q3" s="2">
        <v>6</v>
      </c>
      <c r="R3" s="2">
        <v>6</v>
      </c>
      <c r="S3" s="2">
        <v>5</v>
      </c>
      <c r="T3" s="2">
        <v>6</v>
      </c>
      <c r="U3" s="2">
        <f t="shared" ref="U3:U24" si="0">ROUND(AVERAGE(K3,P3,O3),1)</f>
        <v>6</v>
      </c>
      <c r="V3" s="2">
        <f t="shared" ref="V3:V24" si="1">M3</f>
        <v>6</v>
      </c>
      <c r="W3" s="2">
        <f t="shared" ref="W3:W24" si="2">ROUND(AVERAGE(N3,R3,K3),1)</f>
        <v>6.7</v>
      </c>
      <c r="X3" s="2">
        <f t="shared" ref="X3:X24" si="3">ROUND(AVERAGE(S3,T3,L3),1)</f>
        <v>6</v>
      </c>
      <c r="Y3" s="2" t="s">
        <v>54</v>
      </c>
      <c r="Z3" s="2" t="s">
        <v>55</v>
      </c>
      <c r="AA3" s="2" t="s">
        <v>56</v>
      </c>
      <c r="AB3" s="2" t="s">
        <v>57</v>
      </c>
    </row>
    <row r="4" spans="1:28" ht="28.5">
      <c r="A4" s="2">
        <v>2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51</v>
      </c>
      <c r="G4" s="2" t="s">
        <v>62</v>
      </c>
      <c r="H4" s="2">
        <v>56</v>
      </c>
      <c r="I4" s="2">
        <v>5.4509999999999996</v>
      </c>
      <c r="J4" s="2" t="s">
        <v>63</v>
      </c>
      <c r="K4" s="2">
        <v>6</v>
      </c>
      <c r="L4" s="2">
        <v>7</v>
      </c>
      <c r="M4" s="2">
        <v>8</v>
      </c>
      <c r="N4" s="2">
        <v>6</v>
      </c>
      <c r="O4" s="2">
        <v>3</v>
      </c>
      <c r="P4" s="2">
        <v>5</v>
      </c>
      <c r="Q4" s="2">
        <v>7</v>
      </c>
      <c r="R4" s="2">
        <v>5</v>
      </c>
      <c r="S4" s="2">
        <v>4</v>
      </c>
      <c r="T4" s="2">
        <v>5</v>
      </c>
      <c r="U4" s="2">
        <f t="shared" si="0"/>
        <v>4.7</v>
      </c>
      <c r="V4" s="2">
        <f t="shared" si="1"/>
        <v>8</v>
      </c>
      <c r="W4" s="2">
        <f t="shared" si="2"/>
        <v>5.7</v>
      </c>
      <c r="X4" s="2">
        <f t="shared" si="3"/>
        <v>5.3</v>
      </c>
      <c r="Y4" s="2" t="s">
        <v>64</v>
      </c>
      <c r="Z4" s="2" t="s">
        <v>65</v>
      </c>
      <c r="AA4" s="2" t="s">
        <v>66</v>
      </c>
      <c r="AB4" s="2" t="s">
        <v>57</v>
      </c>
    </row>
    <row r="5" spans="1:28" ht="28.5">
      <c r="A5" s="2">
        <v>3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51</v>
      </c>
      <c r="G5" s="2" t="s">
        <v>52</v>
      </c>
      <c r="H5" s="2">
        <v>53</v>
      </c>
      <c r="I5" s="2">
        <v>5.8070000000000004</v>
      </c>
      <c r="J5" s="2" t="s">
        <v>71</v>
      </c>
      <c r="K5" s="2">
        <v>9</v>
      </c>
      <c r="L5" s="2">
        <v>6</v>
      </c>
      <c r="M5" s="2">
        <v>6</v>
      </c>
      <c r="N5" s="2">
        <v>7</v>
      </c>
      <c r="O5" s="2">
        <v>8</v>
      </c>
      <c r="P5" s="2">
        <v>9</v>
      </c>
      <c r="Q5" s="2">
        <v>5</v>
      </c>
      <c r="R5" s="2">
        <v>6</v>
      </c>
      <c r="S5" s="2">
        <v>7</v>
      </c>
      <c r="T5" s="2">
        <v>8</v>
      </c>
      <c r="U5" s="2">
        <f t="shared" si="0"/>
        <v>8.6999999999999993</v>
      </c>
      <c r="V5" s="2">
        <f t="shared" si="1"/>
        <v>6</v>
      </c>
      <c r="W5" s="2">
        <f t="shared" si="2"/>
        <v>7.3</v>
      </c>
      <c r="X5" s="2">
        <f t="shared" si="3"/>
        <v>7</v>
      </c>
      <c r="Y5" s="2" t="s">
        <v>72</v>
      </c>
      <c r="Z5" s="2" t="s">
        <v>73</v>
      </c>
      <c r="AA5" s="2" t="s">
        <v>66</v>
      </c>
      <c r="AB5" s="2" t="s">
        <v>57</v>
      </c>
    </row>
    <row r="6" spans="1:28">
      <c r="A6" s="2">
        <v>4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51</v>
      </c>
      <c r="G6" s="2" t="s">
        <v>62</v>
      </c>
      <c r="H6" s="2">
        <v>57</v>
      </c>
      <c r="I6" s="2">
        <v>5.4119999999999999</v>
      </c>
      <c r="J6" s="2" t="s">
        <v>78</v>
      </c>
      <c r="K6" s="2">
        <v>6</v>
      </c>
      <c r="L6" s="2">
        <v>7</v>
      </c>
      <c r="M6" s="2">
        <v>8</v>
      </c>
      <c r="N6" s="2">
        <v>6</v>
      </c>
      <c r="O6" s="2">
        <v>3</v>
      </c>
      <c r="P6" s="2">
        <v>5</v>
      </c>
      <c r="Q6" s="2">
        <v>7</v>
      </c>
      <c r="R6" s="2">
        <v>5</v>
      </c>
      <c r="S6" s="2">
        <v>5</v>
      </c>
      <c r="T6" s="2">
        <v>6</v>
      </c>
      <c r="U6" s="2">
        <f t="shared" si="0"/>
        <v>4.7</v>
      </c>
      <c r="V6" s="2">
        <f t="shared" si="1"/>
        <v>8</v>
      </c>
      <c r="W6" s="2">
        <f t="shared" si="2"/>
        <v>5.7</v>
      </c>
      <c r="X6" s="2">
        <f t="shared" si="3"/>
        <v>6</v>
      </c>
      <c r="Y6" s="2" t="s">
        <v>64</v>
      </c>
      <c r="Z6" s="2" t="s">
        <v>79</v>
      </c>
      <c r="AA6" s="2" t="s">
        <v>66</v>
      </c>
      <c r="AB6" s="2" t="s">
        <v>57</v>
      </c>
    </row>
    <row r="7" spans="1:28" ht="28.5">
      <c r="A7" s="2">
        <v>5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51</v>
      </c>
      <c r="G7" s="2" t="s">
        <v>62</v>
      </c>
      <c r="H7" s="2">
        <v>70</v>
      </c>
      <c r="I7" s="2">
        <v>4.3609999999999998</v>
      </c>
      <c r="J7" s="2" t="s">
        <v>84</v>
      </c>
      <c r="K7" s="2">
        <v>5</v>
      </c>
      <c r="L7" s="2">
        <v>9</v>
      </c>
      <c r="M7" s="2">
        <v>8</v>
      </c>
      <c r="N7" s="2">
        <v>8</v>
      </c>
      <c r="O7" s="2">
        <v>2</v>
      </c>
      <c r="P7" s="2">
        <v>5</v>
      </c>
      <c r="Q7" s="2">
        <v>8</v>
      </c>
      <c r="R7" s="2">
        <v>6</v>
      </c>
      <c r="S7" s="2">
        <v>6</v>
      </c>
      <c r="T7" s="2">
        <v>7</v>
      </c>
      <c r="U7" s="2">
        <f t="shared" si="0"/>
        <v>4</v>
      </c>
      <c r="V7" s="2">
        <f t="shared" si="1"/>
        <v>8</v>
      </c>
      <c r="W7" s="2">
        <f t="shared" si="2"/>
        <v>6.3</v>
      </c>
      <c r="X7" s="2">
        <f t="shared" si="3"/>
        <v>7.3</v>
      </c>
      <c r="Y7" s="2" t="s">
        <v>85</v>
      </c>
      <c r="Z7" s="2" t="s">
        <v>86</v>
      </c>
      <c r="AA7" s="2" t="s">
        <v>66</v>
      </c>
      <c r="AB7" s="2" t="s">
        <v>57</v>
      </c>
    </row>
    <row r="8" spans="1:28" ht="28.5">
      <c r="A8" s="2">
        <v>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51</v>
      </c>
      <c r="G8" s="2" t="s">
        <v>52</v>
      </c>
      <c r="H8" s="2">
        <v>78</v>
      </c>
      <c r="I8" s="2">
        <v>3.3370000000000002</v>
      </c>
      <c r="J8" s="2" t="s">
        <v>91</v>
      </c>
      <c r="K8" s="2">
        <v>10</v>
      </c>
      <c r="L8" s="2">
        <v>7</v>
      </c>
      <c r="M8" s="2">
        <v>2</v>
      </c>
      <c r="N8" s="2">
        <v>10</v>
      </c>
      <c r="O8" s="2">
        <v>7</v>
      </c>
      <c r="P8" s="2">
        <v>10</v>
      </c>
      <c r="Q8" s="2">
        <v>1</v>
      </c>
      <c r="R8" s="2">
        <v>6</v>
      </c>
      <c r="S8" s="2">
        <v>10</v>
      </c>
      <c r="T8" s="2">
        <v>8</v>
      </c>
      <c r="U8" s="2">
        <f t="shared" si="0"/>
        <v>9</v>
      </c>
      <c r="V8" s="2">
        <f t="shared" si="1"/>
        <v>2</v>
      </c>
      <c r="W8" s="2">
        <f t="shared" si="2"/>
        <v>8.6999999999999993</v>
      </c>
      <c r="X8" s="2">
        <f t="shared" si="3"/>
        <v>8.3000000000000007</v>
      </c>
      <c r="Y8" s="2" t="s">
        <v>92</v>
      </c>
      <c r="Z8" s="2" t="s">
        <v>93</v>
      </c>
      <c r="AA8" s="2" t="s">
        <v>66</v>
      </c>
      <c r="AB8" s="2" t="s">
        <v>57</v>
      </c>
    </row>
    <row r="9" spans="1:28" ht="28.5">
      <c r="A9" s="2">
        <v>7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51</v>
      </c>
      <c r="G9" s="2" t="s">
        <v>52</v>
      </c>
      <c r="H9" s="2">
        <v>66</v>
      </c>
      <c r="I9" s="2">
        <v>4.657</v>
      </c>
      <c r="J9" s="2" t="s">
        <v>98</v>
      </c>
      <c r="K9" s="2">
        <v>8</v>
      </c>
      <c r="L9" s="2">
        <v>7</v>
      </c>
      <c r="M9" s="2">
        <v>7</v>
      </c>
      <c r="N9" s="2">
        <v>7</v>
      </c>
      <c r="O9" s="2">
        <v>5</v>
      </c>
      <c r="P9" s="2">
        <v>8</v>
      </c>
      <c r="Q9" s="2">
        <v>5</v>
      </c>
      <c r="R9" s="2">
        <v>7</v>
      </c>
      <c r="S9" s="2">
        <v>4</v>
      </c>
      <c r="T9" s="2">
        <v>8</v>
      </c>
      <c r="U9" s="2">
        <f t="shared" si="0"/>
        <v>7</v>
      </c>
      <c r="V9" s="2">
        <f t="shared" si="1"/>
        <v>7</v>
      </c>
      <c r="W9" s="2">
        <f t="shared" si="2"/>
        <v>7.3</v>
      </c>
      <c r="X9" s="2">
        <f t="shared" si="3"/>
        <v>6.3</v>
      </c>
      <c r="Y9" s="2" t="s">
        <v>72</v>
      </c>
      <c r="Z9" s="2" t="s">
        <v>99</v>
      </c>
      <c r="AA9" s="2" t="s">
        <v>100</v>
      </c>
      <c r="AB9" s="2" t="s">
        <v>57</v>
      </c>
    </row>
    <row r="10" spans="1:28" ht="28.5">
      <c r="A10" s="2">
        <v>8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51</v>
      </c>
      <c r="G10" s="2" t="s">
        <v>52</v>
      </c>
      <c r="H10" s="2">
        <v>71</v>
      </c>
      <c r="I10" s="2">
        <v>4.3179999999999996</v>
      </c>
      <c r="J10" s="2" t="s">
        <v>105</v>
      </c>
      <c r="K10" s="2">
        <v>5</v>
      </c>
      <c r="L10" s="2">
        <v>8</v>
      </c>
      <c r="M10" s="2">
        <v>8</v>
      </c>
      <c r="N10" s="2">
        <v>8</v>
      </c>
      <c r="O10" s="2">
        <v>7</v>
      </c>
      <c r="P10" s="2">
        <v>5</v>
      </c>
      <c r="Q10" s="2">
        <v>7</v>
      </c>
      <c r="R10" s="2">
        <v>6</v>
      </c>
      <c r="S10" s="2">
        <v>5</v>
      </c>
      <c r="T10" s="2">
        <v>5</v>
      </c>
      <c r="U10" s="2">
        <f t="shared" si="0"/>
        <v>5.7</v>
      </c>
      <c r="V10" s="2">
        <f t="shared" si="1"/>
        <v>8</v>
      </c>
      <c r="W10" s="2">
        <f t="shared" si="2"/>
        <v>6.3</v>
      </c>
      <c r="X10" s="2">
        <f t="shared" si="3"/>
        <v>6</v>
      </c>
      <c r="Y10" s="2" t="s">
        <v>85</v>
      </c>
      <c r="Z10" s="2" t="s">
        <v>106</v>
      </c>
      <c r="AA10" s="2" t="s">
        <v>56</v>
      </c>
      <c r="AB10" s="2" t="s">
        <v>57</v>
      </c>
    </row>
    <row r="11" spans="1:28" ht="28.5">
      <c r="A11" s="2">
        <v>9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62</v>
      </c>
      <c r="H11" s="2">
        <v>52</v>
      </c>
      <c r="I11" s="2">
        <v>5.891</v>
      </c>
      <c r="J11" s="2" t="s">
        <v>112</v>
      </c>
      <c r="K11" s="2">
        <v>9</v>
      </c>
      <c r="L11" s="2">
        <v>5</v>
      </c>
      <c r="M11" s="2">
        <v>8</v>
      </c>
      <c r="N11" s="2">
        <v>6</v>
      </c>
      <c r="O11" s="2">
        <v>5</v>
      </c>
      <c r="P11" s="2">
        <v>9</v>
      </c>
      <c r="Q11" s="2">
        <v>6</v>
      </c>
      <c r="R11" s="2">
        <v>7</v>
      </c>
      <c r="S11" s="2">
        <v>5</v>
      </c>
      <c r="T11" s="2">
        <v>8</v>
      </c>
      <c r="U11" s="2">
        <f t="shared" si="0"/>
        <v>7.7</v>
      </c>
      <c r="V11" s="2">
        <f t="shared" si="1"/>
        <v>8</v>
      </c>
      <c r="W11" s="2">
        <f t="shared" si="2"/>
        <v>7.3</v>
      </c>
      <c r="X11" s="2">
        <f t="shared" si="3"/>
        <v>6</v>
      </c>
      <c r="Y11" s="2" t="s">
        <v>72</v>
      </c>
      <c r="Z11" s="2" t="s">
        <v>113</v>
      </c>
      <c r="AA11" s="2" t="s">
        <v>114</v>
      </c>
      <c r="AB11" s="2" t="s">
        <v>115</v>
      </c>
    </row>
    <row r="12" spans="1:28" ht="28.5">
      <c r="A12" s="2">
        <v>10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111</v>
      </c>
      <c r="G12" s="2" t="s">
        <v>52</v>
      </c>
      <c r="H12" s="2">
        <v>44</v>
      </c>
      <c r="I12" s="2">
        <v>7.0039999999999996</v>
      </c>
      <c r="J12" s="2" t="s">
        <v>120</v>
      </c>
      <c r="K12" s="2">
        <v>8</v>
      </c>
      <c r="L12" s="2">
        <v>7</v>
      </c>
      <c r="M12" s="2">
        <v>9</v>
      </c>
      <c r="N12" s="2">
        <v>7</v>
      </c>
      <c r="O12" s="2">
        <v>9</v>
      </c>
      <c r="P12" s="2">
        <v>8</v>
      </c>
      <c r="Q12" s="2">
        <v>7</v>
      </c>
      <c r="R12" s="2">
        <v>5</v>
      </c>
      <c r="S12" s="2">
        <v>7</v>
      </c>
      <c r="T12" s="2">
        <v>9</v>
      </c>
      <c r="U12" s="2">
        <f t="shared" si="0"/>
        <v>8.3000000000000007</v>
      </c>
      <c r="V12" s="2">
        <f t="shared" si="1"/>
        <v>9</v>
      </c>
      <c r="W12" s="2">
        <f t="shared" si="2"/>
        <v>6.7</v>
      </c>
      <c r="X12" s="2">
        <f t="shared" si="3"/>
        <v>7.7</v>
      </c>
      <c r="Y12" s="2" t="s">
        <v>54</v>
      </c>
      <c r="Z12" s="2" t="s">
        <v>121</v>
      </c>
      <c r="AA12" s="2" t="s">
        <v>114</v>
      </c>
      <c r="AB12" s="2" t="s">
        <v>115</v>
      </c>
    </row>
    <row r="13" spans="1:28" ht="28.5">
      <c r="A13" s="2">
        <v>11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111</v>
      </c>
      <c r="G13" s="2" t="s">
        <v>52</v>
      </c>
      <c r="H13" s="2">
        <v>70</v>
      </c>
      <c r="I13" s="2">
        <v>4.3810000000000002</v>
      </c>
      <c r="J13" s="2" t="s">
        <v>126</v>
      </c>
      <c r="K13" s="2">
        <v>9</v>
      </c>
      <c r="L13" s="2">
        <v>7</v>
      </c>
      <c r="M13" s="2">
        <v>3</v>
      </c>
      <c r="N13" s="2">
        <v>9</v>
      </c>
      <c r="O13" s="2">
        <v>5</v>
      </c>
      <c r="P13" s="2">
        <v>9</v>
      </c>
      <c r="Q13" s="2">
        <v>3</v>
      </c>
      <c r="R13" s="2">
        <v>6</v>
      </c>
      <c r="S13" s="2">
        <v>5</v>
      </c>
      <c r="T13" s="2">
        <v>7</v>
      </c>
      <c r="U13" s="2">
        <f t="shared" si="0"/>
        <v>7.7</v>
      </c>
      <c r="V13" s="2">
        <f t="shared" si="1"/>
        <v>3</v>
      </c>
      <c r="W13" s="2">
        <f t="shared" si="2"/>
        <v>8</v>
      </c>
      <c r="X13" s="2">
        <f t="shared" si="3"/>
        <v>6.3</v>
      </c>
      <c r="Y13" s="2" t="s">
        <v>127</v>
      </c>
      <c r="Z13" s="2" t="s">
        <v>128</v>
      </c>
      <c r="AA13" s="2" t="s">
        <v>114</v>
      </c>
      <c r="AB13" s="2" t="s">
        <v>115</v>
      </c>
    </row>
    <row r="14" spans="1:28" ht="28.5">
      <c r="A14" s="2">
        <v>12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111</v>
      </c>
      <c r="G14" s="2" t="s">
        <v>62</v>
      </c>
      <c r="H14" s="2">
        <v>72</v>
      </c>
      <c r="I14" s="2">
        <v>4.2590000000000003</v>
      </c>
      <c r="J14" s="2" t="s">
        <v>133</v>
      </c>
      <c r="K14" s="2">
        <v>9</v>
      </c>
      <c r="L14" s="2">
        <v>5</v>
      </c>
      <c r="M14" s="2">
        <v>5</v>
      </c>
      <c r="N14" s="2">
        <v>7</v>
      </c>
      <c r="O14" s="2">
        <v>8</v>
      </c>
      <c r="P14" s="2">
        <v>8</v>
      </c>
      <c r="Q14" s="2">
        <v>4</v>
      </c>
      <c r="R14" s="2">
        <v>6</v>
      </c>
      <c r="S14" s="2">
        <v>7</v>
      </c>
      <c r="T14" s="2">
        <v>7</v>
      </c>
      <c r="U14" s="2">
        <f t="shared" si="0"/>
        <v>8.3000000000000007</v>
      </c>
      <c r="V14" s="2">
        <f t="shared" si="1"/>
        <v>5</v>
      </c>
      <c r="W14" s="2">
        <f t="shared" si="2"/>
        <v>7.3</v>
      </c>
      <c r="X14" s="2">
        <f t="shared" si="3"/>
        <v>6.3</v>
      </c>
      <c r="Y14" s="2" t="s">
        <v>127</v>
      </c>
      <c r="Z14" s="2" t="s">
        <v>134</v>
      </c>
      <c r="AA14" s="2" t="s">
        <v>114</v>
      </c>
      <c r="AB14" s="2" t="s">
        <v>115</v>
      </c>
    </row>
    <row r="15" spans="1:28" ht="28.5">
      <c r="A15" s="2">
        <v>13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111</v>
      </c>
      <c r="G15" s="2" t="s">
        <v>52</v>
      </c>
      <c r="H15" s="2">
        <v>53</v>
      </c>
      <c r="I15" s="2">
        <v>5.7930000000000001</v>
      </c>
      <c r="J15" s="2" t="s">
        <v>139</v>
      </c>
      <c r="K15" s="2">
        <v>4</v>
      </c>
      <c r="L15" s="2">
        <v>9</v>
      </c>
      <c r="M15" s="2">
        <v>10</v>
      </c>
      <c r="N15" s="2">
        <v>7</v>
      </c>
      <c r="O15" s="2">
        <v>2</v>
      </c>
      <c r="P15" s="2">
        <v>4</v>
      </c>
      <c r="Q15" s="2">
        <v>8</v>
      </c>
      <c r="R15" s="2">
        <v>6</v>
      </c>
      <c r="S15" s="2">
        <v>4</v>
      </c>
      <c r="T15" s="2">
        <v>6</v>
      </c>
      <c r="U15" s="2">
        <f t="shared" si="0"/>
        <v>3.3</v>
      </c>
      <c r="V15" s="2">
        <f t="shared" si="1"/>
        <v>10</v>
      </c>
      <c r="W15" s="2">
        <f t="shared" si="2"/>
        <v>5.7</v>
      </c>
      <c r="X15" s="2">
        <f t="shared" si="3"/>
        <v>6.3</v>
      </c>
      <c r="Y15" s="2" t="s">
        <v>140</v>
      </c>
      <c r="Z15" s="2" t="s">
        <v>141</v>
      </c>
      <c r="AA15" s="2" t="s">
        <v>114</v>
      </c>
      <c r="AB15" s="2" t="s">
        <v>115</v>
      </c>
    </row>
    <row r="16" spans="1:28" ht="28.5">
      <c r="A16" s="2">
        <v>14</v>
      </c>
      <c r="B16" s="2" t="s">
        <v>94</v>
      </c>
      <c r="C16" s="2" t="s">
        <v>142</v>
      </c>
      <c r="D16" s="2" t="s">
        <v>96</v>
      </c>
      <c r="E16" s="2" t="s">
        <v>143</v>
      </c>
      <c r="F16" s="2" t="s">
        <v>111</v>
      </c>
      <c r="G16" s="2" t="s">
        <v>52</v>
      </c>
      <c r="H16" s="2">
        <v>57</v>
      </c>
      <c r="I16" s="2">
        <v>5.4740000000000002</v>
      </c>
      <c r="J16" s="2" t="s">
        <v>144</v>
      </c>
      <c r="K16" s="2">
        <v>8</v>
      </c>
      <c r="L16" s="2">
        <v>8</v>
      </c>
      <c r="M16" s="2">
        <v>7</v>
      </c>
      <c r="N16" s="2">
        <v>8</v>
      </c>
      <c r="O16" s="2">
        <v>4</v>
      </c>
      <c r="P16" s="2">
        <v>8</v>
      </c>
      <c r="Q16" s="2">
        <v>5</v>
      </c>
      <c r="R16" s="2">
        <v>5</v>
      </c>
      <c r="S16" s="2">
        <v>8</v>
      </c>
      <c r="T16" s="2">
        <v>7</v>
      </c>
      <c r="U16" s="2">
        <f t="shared" si="0"/>
        <v>6.7</v>
      </c>
      <c r="V16" s="2">
        <f t="shared" si="1"/>
        <v>7</v>
      </c>
      <c r="W16" s="2">
        <f t="shared" si="2"/>
        <v>7</v>
      </c>
      <c r="X16" s="2">
        <f t="shared" si="3"/>
        <v>7.7</v>
      </c>
      <c r="Y16" s="2" t="s">
        <v>72</v>
      </c>
      <c r="Z16" s="2" t="s">
        <v>145</v>
      </c>
      <c r="AA16" s="2" t="s">
        <v>114</v>
      </c>
      <c r="AB16" s="2" t="s">
        <v>146</v>
      </c>
    </row>
    <row r="17" spans="1:28" ht="28.5">
      <c r="A17" s="2">
        <v>15</v>
      </c>
      <c r="B17" s="2" t="s">
        <v>147</v>
      </c>
      <c r="C17" s="2" t="s">
        <v>148</v>
      </c>
      <c r="D17" s="2" t="s">
        <v>149</v>
      </c>
      <c r="E17" s="2" t="s">
        <v>150</v>
      </c>
      <c r="F17" s="2" t="s">
        <v>111</v>
      </c>
      <c r="G17" s="2" t="s">
        <v>52</v>
      </c>
      <c r="H17" s="2">
        <v>51</v>
      </c>
      <c r="I17" s="2">
        <v>6.0030000000000001</v>
      </c>
      <c r="J17" s="2" t="s">
        <v>151</v>
      </c>
      <c r="K17" s="2">
        <v>7</v>
      </c>
      <c r="L17" s="2">
        <v>9</v>
      </c>
      <c r="M17" s="2">
        <v>10</v>
      </c>
      <c r="N17" s="2">
        <v>8</v>
      </c>
      <c r="O17" s="2">
        <v>2</v>
      </c>
      <c r="P17" s="2">
        <v>7</v>
      </c>
      <c r="Q17" s="2">
        <v>8</v>
      </c>
      <c r="R17" s="2">
        <v>4</v>
      </c>
      <c r="S17" s="2">
        <v>9</v>
      </c>
      <c r="T17" s="2">
        <v>7</v>
      </c>
      <c r="U17" s="2">
        <f t="shared" si="0"/>
        <v>5.3</v>
      </c>
      <c r="V17" s="2">
        <f t="shared" si="1"/>
        <v>10</v>
      </c>
      <c r="W17" s="2">
        <f t="shared" si="2"/>
        <v>6.3</v>
      </c>
      <c r="X17" s="2">
        <f t="shared" si="3"/>
        <v>8.3000000000000007</v>
      </c>
      <c r="Y17" s="2" t="s">
        <v>85</v>
      </c>
      <c r="Z17" s="2" t="s">
        <v>152</v>
      </c>
      <c r="AA17" s="2" t="s">
        <v>114</v>
      </c>
      <c r="AB17" s="2" t="s">
        <v>115</v>
      </c>
    </row>
    <row r="18" spans="1:28" ht="28.5">
      <c r="A18" s="2">
        <v>16</v>
      </c>
      <c r="B18" s="2" t="s">
        <v>153</v>
      </c>
      <c r="C18" s="2" t="s">
        <v>154</v>
      </c>
      <c r="D18" s="2" t="s">
        <v>155</v>
      </c>
      <c r="E18" s="2" t="s">
        <v>156</v>
      </c>
      <c r="F18" s="2" t="s">
        <v>111</v>
      </c>
      <c r="G18" s="2" t="s">
        <v>62</v>
      </c>
      <c r="H18" s="2">
        <v>62</v>
      </c>
      <c r="I18" s="2">
        <v>4.9400000000000004</v>
      </c>
      <c r="J18" s="2" t="s">
        <v>157</v>
      </c>
      <c r="K18" s="2">
        <v>10</v>
      </c>
      <c r="L18" s="2">
        <v>8</v>
      </c>
      <c r="M18" s="2">
        <v>4</v>
      </c>
      <c r="N18" s="2">
        <v>10</v>
      </c>
      <c r="O18" s="2">
        <v>2</v>
      </c>
      <c r="P18" s="2">
        <v>9</v>
      </c>
      <c r="Q18" s="2">
        <v>4</v>
      </c>
      <c r="R18" s="2">
        <v>5</v>
      </c>
      <c r="S18" s="2">
        <v>9</v>
      </c>
      <c r="T18" s="2">
        <v>10</v>
      </c>
      <c r="U18" s="2">
        <f t="shared" si="0"/>
        <v>7</v>
      </c>
      <c r="V18" s="2">
        <f t="shared" si="1"/>
        <v>4</v>
      </c>
      <c r="W18" s="2">
        <f t="shared" si="2"/>
        <v>8.3000000000000007</v>
      </c>
      <c r="X18" s="2">
        <f t="shared" si="3"/>
        <v>9</v>
      </c>
      <c r="Y18" s="2" t="s">
        <v>92</v>
      </c>
      <c r="Z18" s="2" t="s">
        <v>158</v>
      </c>
      <c r="AA18" s="2" t="s">
        <v>114</v>
      </c>
      <c r="AB18" s="2" t="s">
        <v>115</v>
      </c>
    </row>
    <row r="19" spans="1:28" ht="28.5">
      <c r="A19" s="2">
        <v>17</v>
      </c>
      <c r="B19" s="2" t="s">
        <v>159</v>
      </c>
      <c r="C19" s="2" t="s">
        <v>160</v>
      </c>
      <c r="D19" s="2" t="s">
        <v>76</v>
      </c>
      <c r="E19" s="2" t="s">
        <v>161</v>
      </c>
      <c r="F19" s="2" t="s">
        <v>111</v>
      </c>
      <c r="G19" s="2" t="s">
        <v>52</v>
      </c>
      <c r="H19" s="2">
        <v>56</v>
      </c>
      <c r="I19" s="2">
        <v>5.5129999999999999</v>
      </c>
      <c r="J19" s="2" t="s">
        <v>162</v>
      </c>
      <c r="K19" s="2">
        <v>8</v>
      </c>
      <c r="L19" s="2">
        <v>7</v>
      </c>
      <c r="M19" s="2">
        <v>8</v>
      </c>
      <c r="N19" s="2">
        <v>7</v>
      </c>
      <c r="O19" s="2">
        <v>8</v>
      </c>
      <c r="P19" s="2">
        <v>8</v>
      </c>
      <c r="Q19" s="2">
        <v>7</v>
      </c>
      <c r="R19" s="2">
        <v>6</v>
      </c>
      <c r="S19" s="2">
        <v>5</v>
      </c>
      <c r="T19" s="2">
        <v>7</v>
      </c>
      <c r="U19" s="2">
        <f t="shared" si="0"/>
        <v>8</v>
      </c>
      <c r="V19" s="2">
        <f t="shared" si="1"/>
        <v>8</v>
      </c>
      <c r="W19" s="2">
        <f t="shared" si="2"/>
        <v>7</v>
      </c>
      <c r="X19" s="2">
        <f t="shared" si="3"/>
        <v>6.3</v>
      </c>
      <c r="Y19" s="2" t="s">
        <v>72</v>
      </c>
      <c r="Z19" s="2" t="s">
        <v>163</v>
      </c>
      <c r="AA19" s="2" t="s">
        <v>114</v>
      </c>
      <c r="AB19" s="2" t="s">
        <v>115</v>
      </c>
    </row>
    <row r="20" spans="1:28" ht="28.5">
      <c r="A20" s="2">
        <v>18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111</v>
      </c>
      <c r="G20" s="2" t="s">
        <v>52</v>
      </c>
      <c r="H20" s="2">
        <v>71</v>
      </c>
      <c r="I20" s="2">
        <v>4.3040000000000003</v>
      </c>
      <c r="J20" s="2" t="s">
        <v>168</v>
      </c>
      <c r="K20" s="2">
        <v>7</v>
      </c>
      <c r="L20" s="2">
        <v>8</v>
      </c>
      <c r="M20" s="2">
        <v>9</v>
      </c>
      <c r="N20" s="2">
        <v>8</v>
      </c>
      <c r="O20" s="2">
        <v>3</v>
      </c>
      <c r="P20" s="2">
        <v>6</v>
      </c>
      <c r="Q20" s="2">
        <v>8</v>
      </c>
      <c r="R20" s="2">
        <v>5</v>
      </c>
      <c r="S20" s="2">
        <v>5</v>
      </c>
      <c r="T20" s="2">
        <v>7</v>
      </c>
      <c r="U20" s="2">
        <f t="shared" si="0"/>
        <v>5.3</v>
      </c>
      <c r="V20" s="2">
        <f t="shared" si="1"/>
        <v>9</v>
      </c>
      <c r="W20" s="2">
        <f t="shared" si="2"/>
        <v>6.7</v>
      </c>
      <c r="X20" s="2">
        <f t="shared" si="3"/>
        <v>6.7</v>
      </c>
      <c r="Y20" s="2" t="s">
        <v>64</v>
      </c>
      <c r="Z20" s="2" t="s">
        <v>169</v>
      </c>
      <c r="AA20" s="2" t="s">
        <v>114</v>
      </c>
      <c r="AB20" s="2" t="s">
        <v>115</v>
      </c>
    </row>
    <row r="21" spans="1:28">
      <c r="A21" s="2">
        <v>19</v>
      </c>
      <c r="B21" s="2" t="s">
        <v>170</v>
      </c>
      <c r="C21" s="2" t="s">
        <v>171</v>
      </c>
      <c r="D21" s="2" t="s">
        <v>172</v>
      </c>
      <c r="E21" s="2" t="s">
        <v>173</v>
      </c>
      <c r="F21" s="2" t="s">
        <v>111</v>
      </c>
      <c r="G21" s="2" t="s">
        <v>52</v>
      </c>
      <c r="H21" s="2">
        <v>71</v>
      </c>
      <c r="I21" s="2">
        <v>4.3090000000000002</v>
      </c>
      <c r="J21" s="2" t="s">
        <v>174</v>
      </c>
      <c r="K21" s="2">
        <v>7</v>
      </c>
      <c r="L21" s="2">
        <v>8</v>
      </c>
      <c r="M21" s="2">
        <v>7</v>
      </c>
      <c r="N21" s="2">
        <v>8</v>
      </c>
      <c r="O21" s="2">
        <v>8</v>
      </c>
      <c r="P21" s="2">
        <v>7</v>
      </c>
      <c r="Q21" s="2">
        <v>7</v>
      </c>
      <c r="R21" s="2">
        <v>6</v>
      </c>
      <c r="S21" s="2">
        <v>5</v>
      </c>
      <c r="T21" s="2">
        <v>7</v>
      </c>
      <c r="U21" s="2">
        <f t="shared" si="0"/>
        <v>7.3</v>
      </c>
      <c r="V21" s="2">
        <f t="shared" si="1"/>
        <v>7</v>
      </c>
      <c r="W21" s="2">
        <f t="shared" si="2"/>
        <v>7</v>
      </c>
      <c r="X21" s="2">
        <f t="shared" si="3"/>
        <v>6.7</v>
      </c>
      <c r="Y21" s="2" t="s">
        <v>54</v>
      </c>
      <c r="Z21" s="2" t="s">
        <v>175</v>
      </c>
      <c r="AA21" s="2" t="s">
        <v>114</v>
      </c>
      <c r="AB21" s="2" t="s">
        <v>115</v>
      </c>
    </row>
    <row r="22" spans="1:28" ht="28.5">
      <c r="A22" s="2">
        <v>20</v>
      </c>
      <c r="B22" s="2" t="s">
        <v>176</v>
      </c>
      <c r="C22" s="2" t="s">
        <v>177</v>
      </c>
      <c r="D22" s="2" t="s">
        <v>76</v>
      </c>
      <c r="E22" s="2" t="s">
        <v>178</v>
      </c>
      <c r="F22" s="2" t="s">
        <v>111</v>
      </c>
      <c r="G22" s="2" t="s">
        <v>52</v>
      </c>
      <c r="H22" s="2">
        <v>50</v>
      </c>
      <c r="I22" s="2">
        <v>6.2009999999999996</v>
      </c>
      <c r="J22" s="2" t="s">
        <v>179</v>
      </c>
      <c r="K22" s="2">
        <v>5</v>
      </c>
      <c r="L22" s="2">
        <v>9</v>
      </c>
      <c r="M22" s="2">
        <v>10</v>
      </c>
      <c r="N22" s="2">
        <v>7</v>
      </c>
      <c r="O22" s="2">
        <v>2</v>
      </c>
      <c r="P22" s="2">
        <v>5</v>
      </c>
      <c r="Q22" s="2">
        <v>9</v>
      </c>
      <c r="R22" s="2">
        <v>4</v>
      </c>
      <c r="S22" s="2">
        <v>7</v>
      </c>
      <c r="T22" s="2">
        <v>6</v>
      </c>
      <c r="U22" s="2">
        <f t="shared" si="0"/>
        <v>4</v>
      </c>
      <c r="V22" s="2">
        <f t="shared" si="1"/>
        <v>10</v>
      </c>
      <c r="W22" s="2">
        <f t="shared" si="2"/>
        <v>5.3</v>
      </c>
      <c r="X22" s="2">
        <f t="shared" si="3"/>
        <v>7.3</v>
      </c>
      <c r="Y22" s="2" t="s">
        <v>140</v>
      </c>
      <c r="Z22" s="2" t="s">
        <v>180</v>
      </c>
      <c r="AA22" s="2" t="s">
        <v>114</v>
      </c>
      <c r="AB22" s="2" t="s">
        <v>115</v>
      </c>
    </row>
    <row r="23" spans="1:28">
      <c r="A23" s="2">
        <v>21</v>
      </c>
      <c r="B23" s="2" t="s">
        <v>181</v>
      </c>
      <c r="C23" s="2" t="s">
        <v>182</v>
      </c>
      <c r="D23" s="2" t="s">
        <v>183</v>
      </c>
      <c r="E23" s="2" t="s">
        <v>184</v>
      </c>
      <c r="F23" s="2" t="s">
        <v>111</v>
      </c>
      <c r="G23" s="2" t="s">
        <v>52</v>
      </c>
      <c r="H23" s="2">
        <v>57</v>
      </c>
      <c r="I23" s="2">
        <v>5.4189999999999996</v>
      </c>
      <c r="J23" s="2" t="s">
        <v>185</v>
      </c>
      <c r="K23" s="2">
        <v>8</v>
      </c>
      <c r="L23" s="2">
        <v>5</v>
      </c>
      <c r="M23" s="2">
        <v>7</v>
      </c>
      <c r="N23" s="2">
        <v>7</v>
      </c>
      <c r="O23" s="2">
        <v>3</v>
      </c>
      <c r="P23" s="2">
        <v>7</v>
      </c>
      <c r="Q23" s="2">
        <v>5</v>
      </c>
      <c r="R23" s="2">
        <v>7</v>
      </c>
      <c r="S23" s="2">
        <v>5</v>
      </c>
      <c r="T23" s="2">
        <v>9</v>
      </c>
      <c r="U23" s="2">
        <f t="shared" si="0"/>
        <v>6</v>
      </c>
      <c r="V23" s="2">
        <f t="shared" si="1"/>
        <v>7</v>
      </c>
      <c r="W23" s="2">
        <f t="shared" si="2"/>
        <v>7.3</v>
      </c>
      <c r="X23" s="2">
        <f t="shared" si="3"/>
        <v>6.3</v>
      </c>
      <c r="Y23" s="2" t="s">
        <v>72</v>
      </c>
      <c r="Z23" s="2" t="s">
        <v>186</v>
      </c>
      <c r="AA23" s="2" t="s">
        <v>114</v>
      </c>
      <c r="AB23" s="2" t="s">
        <v>115</v>
      </c>
    </row>
    <row r="24" spans="1:28">
      <c r="A24" s="2">
        <v>22</v>
      </c>
      <c r="B24" s="2" t="s">
        <v>187</v>
      </c>
      <c r="C24" s="2" t="s">
        <v>188</v>
      </c>
      <c r="D24" s="2" t="s">
        <v>189</v>
      </c>
      <c r="E24" s="2" t="s">
        <v>190</v>
      </c>
      <c r="F24" s="2" t="s">
        <v>111</v>
      </c>
      <c r="G24" s="2" t="s">
        <v>52</v>
      </c>
      <c r="H24" s="2">
        <v>58</v>
      </c>
      <c r="I24" s="2">
        <v>5.2809999999999997</v>
      </c>
      <c r="J24" s="2" t="s">
        <v>191</v>
      </c>
      <c r="K24" s="2">
        <v>6</v>
      </c>
      <c r="L24" s="2">
        <v>8</v>
      </c>
      <c r="M24" s="2">
        <v>8</v>
      </c>
      <c r="N24" s="2">
        <v>8</v>
      </c>
      <c r="O24" s="2">
        <v>3</v>
      </c>
      <c r="P24" s="2">
        <v>6</v>
      </c>
      <c r="Q24" s="2">
        <v>7</v>
      </c>
      <c r="R24" s="2">
        <v>6</v>
      </c>
      <c r="S24" s="2">
        <v>4</v>
      </c>
      <c r="T24" s="2">
        <v>7</v>
      </c>
      <c r="U24" s="2">
        <f t="shared" si="0"/>
        <v>5</v>
      </c>
      <c r="V24" s="2">
        <f t="shared" si="1"/>
        <v>8</v>
      </c>
      <c r="W24" s="2">
        <f t="shared" si="2"/>
        <v>6.7</v>
      </c>
      <c r="X24" s="2">
        <f t="shared" si="3"/>
        <v>6.3</v>
      </c>
      <c r="Y24" s="2" t="s">
        <v>54</v>
      </c>
      <c r="Z24" s="2" t="s">
        <v>192</v>
      </c>
      <c r="AA24" s="2" t="s">
        <v>114</v>
      </c>
      <c r="AB24" s="2" t="s">
        <v>115</v>
      </c>
    </row>
  </sheetData>
  <mergeCells count="1">
    <mergeCell ref="A1:AB1"/>
  </mergeCells>
  <conditionalFormatting sqref="K3:X24">
    <cfRule type="colorScale" priority="1">
      <colorScale>
        <cfvo type="min"/>
        <cfvo type="percentile" val="50"/>
        <cfvo type="max"/>
        <color rgb="FFDBEAFE"/>
        <color rgb="FFFEF3C7"/>
        <color rgb="FFFCA5A5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"/>
  <sheetViews>
    <sheetView workbookViewId="0">
      <selection sqref="A1:V1"/>
    </sheetView>
  </sheetViews>
  <sheetFormatPr defaultRowHeight="14.25"/>
  <cols>
    <col min="1" max="1" width="18" customWidth="1"/>
    <col min="2" max="2" width="20" customWidth="1"/>
    <col min="3" max="3" width="14" customWidth="1"/>
    <col min="4" max="4" width="7" customWidth="1"/>
    <col min="5" max="5" width="12" customWidth="1"/>
    <col min="6" max="6" width="14" customWidth="1"/>
    <col min="7" max="9" width="10" customWidth="1"/>
    <col min="10" max="11" width="16" customWidth="1"/>
    <col min="12" max="12" width="10" customWidth="1"/>
    <col min="13" max="14" width="16" customWidth="1"/>
    <col min="15" max="15" width="14" customWidth="1"/>
    <col min="16" max="16" width="16" customWidth="1"/>
    <col min="17" max="18" width="10" customWidth="1"/>
    <col min="19" max="21" width="14" customWidth="1"/>
    <col min="22" max="22" width="50" customWidth="1"/>
  </cols>
  <sheetData>
    <row r="1" spans="1:22">
      <c r="A1" s="3" t="s">
        <v>193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30">
      <c r="A2" s="1" t="s">
        <v>194</v>
      </c>
      <c r="B2" s="1" t="s">
        <v>195</v>
      </c>
      <c r="C2" s="1" t="s">
        <v>196</v>
      </c>
      <c r="D2" s="1" t="s">
        <v>197</v>
      </c>
      <c r="E2" s="1" t="s">
        <v>198</v>
      </c>
      <c r="F2" s="1" t="s">
        <v>199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200</v>
      </c>
      <c r="P2" s="1" t="s">
        <v>38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</row>
    <row r="3" spans="1:22">
      <c r="A3" s="2" t="s">
        <v>207</v>
      </c>
      <c r="B3" s="2" t="s">
        <v>66</v>
      </c>
      <c r="C3" s="2" t="s">
        <v>137</v>
      </c>
      <c r="D3" s="2">
        <v>19</v>
      </c>
      <c r="E3" s="2">
        <v>171</v>
      </c>
      <c r="F3" s="2">
        <v>1</v>
      </c>
      <c r="G3" s="2">
        <v>9.1999999999999993</v>
      </c>
      <c r="H3" s="2">
        <v>8.9</v>
      </c>
      <c r="I3" s="2">
        <v>9.1999999999999993</v>
      </c>
      <c r="J3" s="2">
        <v>9</v>
      </c>
      <c r="K3" s="2">
        <v>8.8000000000000007</v>
      </c>
      <c r="L3" s="2">
        <v>9.1999999999999993</v>
      </c>
      <c r="M3" s="2">
        <v>8.8000000000000007</v>
      </c>
      <c r="N3" s="2">
        <v>8.8000000000000007</v>
      </c>
      <c r="O3" s="2">
        <v>8.5</v>
      </c>
      <c r="P3" s="2">
        <v>9.1</v>
      </c>
      <c r="Q3" s="2">
        <v>9.4</v>
      </c>
      <c r="R3" s="2">
        <v>9.3000000000000007</v>
      </c>
      <c r="S3" s="2">
        <f t="shared" ref="S3:S24" si="0">ROUND(AVERAGE(G3:R3),1)</f>
        <v>9</v>
      </c>
      <c r="T3" s="2">
        <v>10</v>
      </c>
      <c r="U3" s="2" t="s">
        <v>208</v>
      </c>
      <c r="V3" s="2" t="s">
        <v>209</v>
      </c>
    </row>
    <row r="4" spans="1:22">
      <c r="A4" s="2" t="s">
        <v>207</v>
      </c>
      <c r="B4" s="2" t="s">
        <v>56</v>
      </c>
      <c r="C4" s="2" t="s">
        <v>109</v>
      </c>
      <c r="D4" s="2">
        <v>28</v>
      </c>
      <c r="E4" s="2">
        <v>131</v>
      </c>
      <c r="F4" s="2">
        <v>2</v>
      </c>
      <c r="G4" s="2">
        <v>9.1999999999999993</v>
      </c>
      <c r="H4" s="2">
        <v>9.1</v>
      </c>
      <c r="I4" s="2">
        <v>9</v>
      </c>
      <c r="J4" s="2">
        <v>8.8000000000000007</v>
      </c>
      <c r="K4" s="2">
        <v>8.8000000000000007</v>
      </c>
      <c r="L4" s="2">
        <v>9.1</v>
      </c>
      <c r="M4" s="2">
        <v>8.6</v>
      </c>
      <c r="N4" s="2">
        <v>8.9</v>
      </c>
      <c r="O4" s="2">
        <v>8.8000000000000007</v>
      </c>
      <c r="P4" s="2">
        <v>9.1999999999999993</v>
      </c>
      <c r="Q4" s="2">
        <v>9.1999999999999993</v>
      </c>
      <c r="R4" s="2">
        <v>9.1999999999999993</v>
      </c>
      <c r="S4" s="2">
        <f t="shared" si="0"/>
        <v>9</v>
      </c>
      <c r="T4" s="2">
        <v>9.3000000000000007</v>
      </c>
      <c r="U4" s="2" t="s">
        <v>208</v>
      </c>
      <c r="V4" s="2" t="s">
        <v>210</v>
      </c>
    </row>
    <row r="5" spans="1:22" ht="28.5">
      <c r="A5" s="2" t="s">
        <v>211</v>
      </c>
      <c r="B5" s="2" t="s">
        <v>100</v>
      </c>
      <c r="C5" s="2" t="s">
        <v>109</v>
      </c>
      <c r="D5" s="2">
        <v>41</v>
      </c>
      <c r="E5" s="2">
        <v>125</v>
      </c>
      <c r="F5" s="2">
        <v>3</v>
      </c>
      <c r="G5" s="2">
        <v>9.4</v>
      </c>
      <c r="H5" s="2">
        <v>9.4</v>
      </c>
      <c r="I5" s="2">
        <v>9.1999999999999993</v>
      </c>
      <c r="J5" s="2">
        <v>9.1</v>
      </c>
      <c r="K5" s="2">
        <v>9.1999999999999993</v>
      </c>
      <c r="L5" s="2">
        <v>9.4</v>
      </c>
      <c r="M5" s="2">
        <v>9.3000000000000007</v>
      </c>
      <c r="N5" s="2">
        <v>9.1</v>
      </c>
      <c r="O5" s="2">
        <v>9.5</v>
      </c>
      <c r="P5" s="2">
        <v>9.4</v>
      </c>
      <c r="Q5" s="2">
        <v>9.1</v>
      </c>
      <c r="R5" s="2">
        <v>9.3000000000000007</v>
      </c>
      <c r="S5" s="2">
        <f t="shared" si="0"/>
        <v>9.3000000000000007</v>
      </c>
      <c r="T5" s="2">
        <v>9.1</v>
      </c>
      <c r="U5" s="2" t="s">
        <v>208</v>
      </c>
      <c r="V5" s="2" t="s">
        <v>212</v>
      </c>
    </row>
    <row r="6" spans="1:22">
      <c r="A6" s="2" t="s">
        <v>211</v>
      </c>
      <c r="B6" s="2" t="s">
        <v>213</v>
      </c>
      <c r="C6" s="2" t="s">
        <v>89</v>
      </c>
      <c r="D6" s="2">
        <v>28</v>
      </c>
      <c r="E6" s="2">
        <v>79</v>
      </c>
      <c r="F6" s="2">
        <v>6</v>
      </c>
      <c r="G6" s="2">
        <v>9.3000000000000007</v>
      </c>
      <c r="H6" s="2">
        <v>9</v>
      </c>
      <c r="I6" s="2">
        <v>9.1</v>
      </c>
      <c r="J6" s="2">
        <v>9</v>
      </c>
      <c r="K6" s="2">
        <v>9.1999999999999993</v>
      </c>
      <c r="L6" s="2">
        <v>9.4</v>
      </c>
      <c r="M6" s="2">
        <v>8.8000000000000007</v>
      </c>
      <c r="N6" s="2">
        <v>8.9</v>
      </c>
      <c r="O6" s="2">
        <v>8.6999999999999993</v>
      </c>
      <c r="P6" s="2">
        <v>9.1</v>
      </c>
      <c r="Q6" s="2">
        <v>9.4</v>
      </c>
      <c r="R6" s="2">
        <v>9.1999999999999993</v>
      </c>
      <c r="S6" s="2">
        <f t="shared" si="0"/>
        <v>9.1</v>
      </c>
      <c r="T6" s="2">
        <v>9.5</v>
      </c>
      <c r="U6" s="2" t="s">
        <v>208</v>
      </c>
      <c r="V6" s="2" t="s">
        <v>214</v>
      </c>
    </row>
    <row r="7" spans="1:22">
      <c r="A7" s="2" t="s">
        <v>215</v>
      </c>
      <c r="B7" s="2" t="s">
        <v>216</v>
      </c>
      <c r="C7" s="2" t="s">
        <v>49</v>
      </c>
      <c r="D7" s="2">
        <v>25</v>
      </c>
      <c r="E7" s="2">
        <v>80</v>
      </c>
      <c r="F7" s="2">
        <v>4</v>
      </c>
      <c r="G7" s="2">
        <v>9.1</v>
      </c>
      <c r="H7" s="2">
        <v>8.9</v>
      </c>
      <c r="I7" s="2">
        <v>9</v>
      </c>
      <c r="J7" s="2">
        <v>8.9</v>
      </c>
      <c r="K7" s="2">
        <v>8.8000000000000007</v>
      </c>
      <c r="L7" s="2">
        <v>9.1</v>
      </c>
      <c r="M7" s="2">
        <v>8.6</v>
      </c>
      <c r="N7" s="2">
        <v>8.9</v>
      </c>
      <c r="O7" s="2">
        <v>9</v>
      </c>
      <c r="P7" s="2">
        <v>9.1999999999999993</v>
      </c>
      <c r="Q7" s="2">
        <v>9.1</v>
      </c>
      <c r="R7" s="2">
        <v>9.1</v>
      </c>
      <c r="S7" s="2">
        <f t="shared" si="0"/>
        <v>9</v>
      </c>
      <c r="T7" s="2">
        <v>9.6</v>
      </c>
      <c r="U7" s="2" t="s">
        <v>208</v>
      </c>
      <c r="V7" s="2" t="s">
        <v>217</v>
      </c>
    </row>
    <row r="8" spans="1:22">
      <c r="A8" s="2" t="s">
        <v>215</v>
      </c>
      <c r="B8" s="2" t="s">
        <v>218</v>
      </c>
      <c r="C8" s="2" t="s">
        <v>109</v>
      </c>
      <c r="D8" s="2">
        <v>26</v>
      </c>
      <c r="E8" s="2">
        <v>79</v>
      </c>
      <c r="F8" s="2">
        <v>5</v>
      </c>
      <c r="G8" s="2">
        <v>9.1999999999999993</v>
      </c>
      <c r="H8" s="2">
        <v>8.8000000000000007</v>
      </c>
      <c r="I8" s="2">
        <v>9</v>
      </c>
      <c r="J8" s="2">
        <v>9</v>
      </c>
      <c r="K8" s="2">
        <v>8.8000000000000007</v>
      </c>
      <c r="L8" s="2">
        <v>9.1</v>
      </c>
      <c r="M8" s="2">
        <v>9</v>
      </c>
      <c r="N8" s="2">
        <v>8.9</v>
      </c>
      <c r="O8" s="2">
        <v>8.6999999999999993</v>
      </c>
      <c r="P8" s="2">
        <v>9</v>
      </c>
      <c r="Q8" s="2">
        <v>9.1</v>
      </c>
      <c r="R8" s="2">
        <v>9.1</v>
      </c>
      <c r="S8" s="2">
        <f t="shared" si="0"/>
        <v>9</v>
      </c>
      <c r="T8" s="2">
        <v>9.3000000000000007</v>
      </c>
      <c r="U8" s="2" t="s">
        <v>208</v>
      </c>
      <c r="V8" s="2" t="s">
        <v>219</v>
      </c>
    </row>
    <row r="9" spans="1:22">
      <c r="A9" s="2" t="s">
        <v>220</v>
      </c>
      <c r="B9" s="2" t="s">
        <v>221</v>
      </c>
      <c r="C9" s="2" t="s">
        <v>131</v>
      </c>
      <c r="D9" s="2">
        <v>28</v>
      </c>
      <c r="E9" s="2">
        <v>73</v>
      </c>
      <c r="F9" s="2">
        <v>7</v>
      </c>
      <c r="G9" s="2">
        <v>9.8000000000000007</v>
      </c>
      <c r="H9" s="2">
        <v>9.6999999999999993</v>
      </c>
      <c r="I9" s="2">
        <v>9.6</v>
      </c>
      <c r="J9" s="2">
        <v>9.6999999999999993</v>
      </c>
      <c r="K9" s="2">
        <v>9.6999999999999993</v>
      </c>
      <c r="L9" s="2">
        <v>9.8000000000000007</v>
      </c>
      <c r="M9" s="2">
        <v>9.8000000000000007</v>
      </c>
      <c r="N9" s="2">
        <v>9.5</v>
      </c>
      <c r="O9" s="2">
        <v>9.4</v>
      </c>
      <c r="P9" s="2">
        <v>9.6999999999999993</v>
      </c>
      <c r="Q9" s="2">
        <v>9.6999999999999993</v>
      </c>
      <c r="R9" s="2">
        <v>9.8000000000000007</v>
      </c>
      <c r="S9" s="2">
        <f t="shared" si="0"/>
        <v>9.6999999999999993</v>
      </c>
      <c r="T9" s="2">
        <v>9.8000000000000007</v>
      </c>
      <c r="U9" s="2" t="s">
        <v>208</v>
      </c>
      <c r="V9" s="2" t="s">
        <v>222</v>
      </c>
    </row>
    <row r="10" spans="1:22">
      <c r="A10" s="2" t="s">
        <v>220</v>
      </c>
      <c r="B10" s="2" t="s">
        <v>223</v>
      </c>
      <c r="C10" s="2" t="s">
        <v>224</v>
      </c>
      <c r="D10" s="2">
        <v>21</v>
      </c>
      <c r="E10" s="2">
        <v>42</v>
      </c>
      <c r="F10" s="2">
        <v>8</v>
      </c>
      <c r="G10" s="2">
        <v>8.4</v>
      </c>
      <c r="H10" s="2">
        <v>8.1</v>
      </c>
      <c r="I10" s="2">
        <v>8.1999999999999993</v>
      </c>
      <c r="J10" s="2">
        <v>8.3000000000000007</v>
      </c>
      <c r="K10" s="2">
        <v>8.1</v>
      </c>
      <c r="L10" s="2">
        <v>8.4</v>
      </c>
      <c r="M10" s="2">
        <v>8.3000000000000007</v>
      </c>
      <c r="N10" s="2">
        <v>8</v>
      </c>
      <c r="O10" s="2">
        <v>7.8</v>
      </c>
      <c r="P10" s="2">
        <v>8.1999999999999993</v>
      </c>
      <c r="Q10" s="2">
        <v>8.3000000000000007</v>
      </c>
      <c r="R10" s="2">
        <v>8.3000000000000007</v>
      </c>
      <c r="S10" s="2">
        <f t="shared" si="0"/>
        <v>8.1999999999999993</v>
      </c>
      <c r="T10" s="2">
        <v>9.1</v>
      </c>
      <c r="U10" s="2" t="s">
        <v>208</v>
      </c>
      <c r="V10" s="2" t="s">
        <v>225</v>
      </c>
    </row>
    <row r="11" spans="1:22">
      <c r="A11" s="2" t="s">
        <v>226</v>
      </c>
      <c r="B11" s="2" t="s">
        <v>227</v>
      </c>
      <c r="C11" s="2" t="s">
        <v>224</v>
      </c>
      <c r="D11" s="2">
        <v>30</v>
      </c>
      <c r="E11" s="2">
        <v>41</v>
      </c>
      <c r="F11" s="2">
        <v>9</v>
      </c>
      <c r="G11" s="2">
        <v>8.5</v>
      </c>
      <c r="H11" s="2">
        <v>8.3000000000000007</v>
      </c>
      <c r="I11" s="2">
        <v>8.3000000000000007</v>
      </c>
      <c r="J11" s="2">
        <v>8.4</v>
      </c>
      <c r="K11" s="2">
        <v>8.4</v>
      </c>
      <c r="L11" s="2">
        <v>8.5</v>
      </c>
      <c r="M11" s="2">
        <v>8.5</v>
      </c>
      <c r="N11" s="2">
        <v>8.1999999999999993</v>
      </c>
      <c r="O11" s="2">
        <v>8.1999999999999993</v>
      </c>
      <c r="P11" s="2">
        <v>8.5</v>
      </c>
      <c r="Q11" s="2">
        <v>8.4</v>
      </c>
      <c r="R11" s="2">
        <v>8.5</v>
      </c>
      <c r="S11" s="2">
        <f t="shared" si="0"/>
        <v>8.4</v>
      </c>
      <c r="T11" s="2">
        <v>8.6</v>
      </c>
      <c r="U11" s="2" t="s">
        <v>208</v>
      </c>
      <c r="V11" s="2" t="s">
        <v>228</v>
      </c>
    </row>
    <row r="12" spans="1:22">
      <c r="A12" s="2" t="s">
        <v>226</v>
      </c>
      <c r="B12" s="2" t="s">
        <v>229</v>
      </c>
      <c r="C12" s="2" t="s">
        <v>230</v>
      </c>
      <c r="D12" s="2">
        <v>23</v>
      </c>
      <c r="E12" s="2">
        <v>16</v>
      </c>
      <c r="F12" s="2">
        <v>12</v>
      </c>
      <c r="G12" s="2">
        <v>8.1</v>
      </c>
      <c r="H12" s="2">
        <v>7.8</v>
      </c>
      <c r="I12" s="2">
        <v>7.9</v>
      </c>
      <c r="J12" s="2">
        <v>8</v>
      </c>
      <c r="K12" s="2">
        <v>7.7</v>
      </c>
      <c r="L12" s="2">
        <v>8</v>
      </c>
      <c r="M12" s="2">
        <v>8</v>
      </c>
      <c r="N12" s="2">
        <v>7.7</v>
      </c>
      <c r="O12" s="2">
        <v>7.6</v>
      </c>
      <c r="P12" s="2">
        <v>7.9</v>
      </c>
      <c r="Q12" s="2">
        <v>7.9</v>
      </c>
      <c r="R12" s="2">
        <v>7.9</v>
      </c>
      <c r="S12" s="2">
        <f t="shared" si="0"/>
        <v>7.9</v>
      </c>
      <c r="T12" s="2">
        <v>8.6999999999999993</v>
      </c>
      <c r="U12" s="2" t="s">
        <v>208</v>
      </c>
      <c r="V12" s="2" t="s">
        <v>231</v>
      </c>
    </row>
    <row r="13" spans="1:22">
      <c r="A13" s="2" t="s">
        <v>232</v>
      </c>
      <c r="B13" s="2" t="s">
        <v>233</v>
      </c>
      <c r="C13" s="2" t="s">
        <v>234</v>
      </c>
      <c r="D13" s="2">
        <v>24</v>
      </c>
      <c r="E13" s="2">
        <v>30</v>
      </c>
      <c r="F13" s="2">
        <v>10</v>
      </c>
      <c r="G13" s="2">
        <v>8.1999999999999993</v>
      </c>
      <c r="H13" s="2">
        <v>8</v>
      </c>
      <c r="I13" s="2">
        <v>8.1</v>
      </c>
      <c r="J13" s="2">
        <v>8.1</v>
      </c>
      <c r="K13" s="2">
        <v>7.9</v>
      </c>
      <c r="L13" s="2">
        <v>8.1</v>
      </c>
      <c r="M13" s="2">
        <v>8.1999999999999993</v>
      </c>
      <c r="N13" s="2">
        <v>7.8</v>
      </c>
      <c r="O13" s="2">
        <v>7.8</v>
      </c>
      <c r="P13" s="2">
        <v>8</v>
      </c>
      <c r="Q13" s="2">
        <v>8.1</v>
      </c>
      <c r="R13" s="2">
        <v>8.1</v>
      </c>
      <c r="S13" s="2">
        <f t="shared" si="0"/>
        <v>8</v>
      </c>
      <c r="T13" s="2">
        <v>8.6999999999999993</v>
      </c>
      <c r="U13" s="2" t="s">
        <v>208</v>
      </c>
      <c r="V13" s="2" t="s">
        <v>235</v>
      </c>
    </row>
    <row r="14" spans="1:22">
      <c r="A14" s="2" t="s">
        <v>232</v>
      </c>
      <c r="B14" s="2" t="s">
        <v>236</v>
      </c>
      <c r="C14" s="2" t="s">
        <v>109</v>
      </c>
      <c r="D14" s="2">
        <v>18</v>
      </c>
      <c r="E14" s="2">
        <v>14</v>
      </c>
      <c r="F14" s="2">
        <v>13</v>
      </c>
      <c r="G14" s="2">
        <v>7.9</v>
      </c>
      <c r="H14" s="2">
        <v>7.6</v>
      </c>
      <c r="I14" s="2">
        <v>7.8</v>
      </c>
      <c r="J14" s="2">
        <v>7.7</v>
      </c>
      <c r="K14" s="2">
        <v>7.6</v>
      </c>
      <c r="L14" s="2">
        <v>7.8</v>
      </c>
      <c r="M14" s="2">
        <v>7.7</v>
      </c>
      <c r="N14" s="2">
        <v>7.5</v>
      </c>
      <c r="O14" s="2">
        <v>7.5</v>
      </c>
      <c r="P14" s="2">
        <v>7.7</v>
      </c>
      <c r="Q14" s="2">
        <v>7.8</v>
      </c>
      <c r="R14" s="2">
        <v>7.8</v>
      </c>
      <c r="S14" s="2">
        <f t="shared" si="0"/>
        <v>7.7</v>
      </c>
      <c r="T14" s="2">
        <v>9.1999999999999993</v>
      </c>
      <c r="U14" s="2" t="s">
        <v>208</v>
      </c>
      <c r="V14" s="2" t="s">
        <v>237</v>
      </c>
    </row>
    <row r="15" spans="1:22">
      <c r="A15" s="2" t="s">
        <v>238</v>
      </c>
      <c r="B15" s="2" t="s">
        <v>239</v>
      </c>
      <c r="C15" s="2" t="s">
        <v>109</v>
      </c>
      <c r="D15" s="2">
        <v>21</v>
      </c>
      <c r="E15" s="2">
        <v>18</v>
      </c>
      <c r="F15" s="2">
        <v>11</v>
      </c>
      <c r="G15" s="2">
        <v>8</v>
      </c>
      <c r="H15" s="2">
        <v>7.8</v>
      </c>
      <c r="I15" s="2">
        <v>7.9</v>
      </c>
      <c r="J15" s="2">
        <v>7.9</v>
      </c>
      <c r="K15" s="2">
        <v>7.8</v>
      </c>
      <c r="L15" s="2">
        <v>8</v>
      </c>
      <c r="M15" s="2">
        <v>7.8</v>
      </c>
      <c r="N15" s="2">
        <v>7.7</v>
      </c>
      <c r="O15" s="2">
        <v>7.7</v>
      </c>
      <c r="P15" s="2">
        <v>7.9</v>
      </c>
      <c r="Q15" s="2">
        <v>8</v>
      </c>
      <c r="R15" s="2">
        <v>8</v>
      </c>
      <c r="S15" s="2">
        <f t="shared" si="0"/>
        <v>7.9</v>
      </c>
      <c r="T15" s="2">
        <v>8.9</v>
      </c>
      <c r="U15" s="2" t="s">
        <v>208</v>
      </c>
      <c r="V15" s="2" t="s">
        <v>240</v>
      </c>
    </row>
    <row r="16" spans="1:22">
      <c r="A16" s="2" t="s">
        <v>238</v>
      </c>
      <c r="B16" s="2" t="s">
        <v>241</v>
      </c>
      <c r="C16" s="2" t="s">
        <v>224</v>
      </c>
      <c r="D16" s="2">
        <v>29</v>
      </c>
      <c r="E16" s="2">
        <v>3</v>
      </c>
      <c r="F16" s="2">
        <v>16</v>
      </c>
      <c r="G16" s="2">
        <v>8.1999999999999993</v>
      </c>
      <c r="H16" s="2">
        <v>8.3000000000000007</v>
      </c>
      <c r="I16" s="2">
        <v>8.1</v>
      </c>
      <c r="J16" s="2">
        <v>8</v>
      </c>
      <c r="K16" s="2">
        <v>8</v>
      </c>
      <c r="L16" s="2">
        <v>8.1</v>
      </c>
      <c r="M16" s="2">
        <v>8.4</v>
      </c>
      <c r="N16" s="2">
        <v>7.9</v>
      </c>
      <c r="O16" s="2">
        <v>7.9</v>
      </c>
      <c r="P16" s="2">
        <v>8.1</v>
      </c>
      <c r="Q16" s="2">
        <v>8</v>
      </c>
      <c r="R16" s="2">
        <v>8.1</v>
      </c>
      <c r="S16" s="2">
        <f t="shared" si="0"/>
        <v>8.1</v>
      </c>
      <c r="T16" s="2">
        <v>8.1999999999999993</v>
      </c>
      <c r="U16" s="2" t="s">
        <v>208</v>
      </c>
      <c r="V16" s="2" t="s">
        <v>242</v>
      </c>
    </row>
    <row r="17" spans="1:22">
      <c r="A17" s="2" t="s">
        <v>243</v>
      </c>
      <c r="B17" s="2" t="s">
        <v>244</v>
      </c>
      <c r="C17" s="2" t="s">
        <v>96</v>
      </c>
      <c r="D17" s="2">
        <v>31</v>
      </c>
      <c r="E17" s="2">
        <v>6</v>
      </c>
      <c r="F17" s="2">
        <v>14</v>
      </c>
      <c r="G17" s="2">
        <v>8.8000000000000007</v>
      </c>
      <c r="H17" s="2">
        <v>8.6999999999999993</v>
      </c>
      <c r="I17" s="2">
        <v>8.6</v>
      </c>
      <c r="J17" s="2">
        <v>8.6999999999999993</v>
      </c>
      <c r="K17" s="2">
        <v>8.6</v>
      </c>
      <c r="L17" s="2">
        <v>8.6999999999999993</v>
      </c>
      <c r="M17" s="2">
        <v>8.6999999999999993</v>
      </c>
      <c r="N17" s="2">
        <v>8.5</v>
      </c>
      <c r="O17" s="2">
        <v>8.8000000000000007</v>
      </c>
      <c r="P17" s="2">
        <v>8.8000000000000007</v>
      </c>
      <c r="Q17" s="2">
        <v>8.5</v>
      </c>
      <c r="R17" s="2">
        <v>8.6999999999999993</v>
      </c>
      <c r="S17" s="2">
        <f t="shared" si="0"/>
        <v>8.6999999999999993</v>
      </c>
      <c r="T17" s="2">
        <v>8.6999999999999993</v>
      </c>
      <c r="U17" s="2" t="s">
        <v>208</v>
      </c>
      <c r="V17" s="2" t="s">
        <v>245</v>
      </c>
    </row>
    <row r="18" spans="1:22">
      <c r="A18" s="2" t="s">
        <v>243</v>
      </c>
      <c r="B18" s="2" t="s">
        <v>246</v>
      </c>
      <c r="C18" s="2" t="s">
        <v>247</v>
      </c>
      <c r="D18" s="2">
        <v>30</v>
      </c>
      <c r="E18" s="2">
        <v>5</v>
      </c>
      <c r="F18" s="2">
        <v>15</v>
      </c>
      <c r="G18" s="2">
        <v>8.4</v>
      </c>
      <c r="H18" s="2">
        <v>8.1999999999999993</v>
      </c>
      <c r="I18" s="2">
        <v>8.3000000000000007</v>
      </c>
      <c r="J18" s="2">
        <v>8.3000000000000007</v>
      </c>
      <c r="K18" s="2">
        <v>8.3000000000000007</v>
      </c>
      <c r="L18" s="2">
        <v>8.3000000000000007</v>
      </c>
      <c r="M18" s="2">
        <v>8.4</v>
      </c>
      <c r="N18" s="2">
        <v>8.1</v>
      </c>
      <c r="O18" s="2">
        <v>8.1999999999999993</v>
      </c>
      <c r="P18" s="2">
        <v>8.4</v>
      </c>
      <c r="Q18" s="2">
        <v>8.1999999999999993</v>
      </c>
      <c r="R18" s="2">
        <v>8.4</v>
      </c>
      <c r="S18" s="2">
        <f t="shared" si="0"/>
        <v>8.3000000000000007</v>
      </c>
      <c r="T18" s="2">
        <v>8.4</v>
      </c>
      <c r="U18" s="2" t="s">
        <v>208</v>
      </c>
      <c r="V18" s="2" t="s">
        <v>248</v>
      </c>
    </row>
    <row r="19" spans="1:22">
      <c r="A19" s="2" t="s">
        <v>249</v>
      </c>
      <c r="B19" s="2" t="s">
        <v>250</v>
      </c>
      <c r="C19" s="2" t="s">
        <v>172</v>
      </c>
      <c r="D19" s="2">
        <v>21</v>
      </c>
      <c r="E19" s="2">
        <v>2</v>
      </c>
      <c r="F19" s="2">
        <v>17</v>
      </c>
      <c r="G19" s="2">
        <v>7.8</v>
      </c>
      <c r="H19" s="2">
        <v>7.5</v>
      </c>
      <c r="I19" s="2">
        <v>7.7</v>
      </c>
      <c r="J19" s="2">
        <v>7.6</v>
      </c>
      <c r="K19" s="2">
        <v>7.5</v>
      </c>
      <c r="L19" s="2">
        <v>7.7</v>
      </c>
      <c r="M19" s="2">
        <v>7.6</v>
      </c>
      <c r="N19" s="2">
        <v>7.4</v>
      </c>
      <c r="O19" s="2">
        <v>7.6</v>
      </c>
      <c r="P19" s="2">
        <v>7.6</v>
      </c>
      <c r="Q19" s="2">
        <v>7.7</v>
      </c>
      <c r="R19" s="2">
        <v>7.7</v>
      </c>
      <c r="S19" s="2">
        <f t="shared" si="0"/>
        <v>7.6</v>
      </c>
      <c r="T19" s="2">
        <v>8.9</v>
      </c>
      <c r="U19" s="2" t="s">
        <v>208</v>
      </c>
      <c r="V19" s="2" t="s">
        <v>251</v>
      </c>
    </row>
    <row r="20" spans="1:22">
      <c r="A20" s="2" t="s">
        <v>249</v>
      </c>
      <c r="B20" s="2" t="s">
        <v>252</v>
      </c>
      <c r="C20" s="2" t="s">
        <v>253</v>
      </c>
      <c r="D20" s="2">
        <v>38</v>
      </c>
      <c r="E20" s="2">
        <v>0</v>
      </c>
      <c r="F20" s="2">
        <v>19</v>
      </c>
      <c r="G20" s="2">
        <v>8.1999999999999993</v>
      </c>
      <c r="H20" s="2">
        <v>8.1999999999999993</v>
      </c>
      <c r="I20" s="2">
        <v>8</v>
      </c>
      <c r="J20" s="2">
        <v>8</v>
      </c>
      <c r="K20" s="2">
        <v>8.1</v>
      </c>
      <c r="L20" s="2">
        <v>8</v>
      </c>
      <c r="M20" s="2">
        <v>8.1</v>
      </c>
      <c r="N20" s="2">
        <v>8</v>
      </c>
      <c r="O20" s="2">
        <v>8.3000000000000007</v>
      </c>
      <c r="P20" s="2">
        <v>8.3000000000000007</v>
      </c>
      <c r="Q20" s="2">
        <v>8</v>
      </c>
      <c r="R20" s="2">
        <v>8.1</v>
      </c>
      <c r="S20" s="2">
        <f t="shared" si="0"/>
        <v>8.1</v>
      </c>
      <c r="T20" s="2">
        <v>7.9</v>
      </c>
      <c r="U20" s="2" t="s">
        <v>208</v>
      </c>
      <c r="V20" s="2" t="s">
        <v>254</v>
      </c>
    </row>
    <row r="21" spans="1:22">
      <c r="A21" s="2" t="s">
        <v>255</v>
      </c>
      <c r="B21" s="2" t="s">
        <v>256</v>
      </c>
      <c r="C21" s="2" t="s">
        <v>96</v>
      </c>
      <c r="D21" s="2">
        <v>44</v>
      </c>
      <c r="E21" s="2">
        <v>1</v>
      </c>
      <c r="F21" s="2">
        <v>18</v>
      </c>
      <c r="G21" s="2">
        <v>9.1</v>
      </c>
      <c r="H21" s="2">
        <v>9.1999999999999993</v>
      </c>
      <c r="I21" s="2">
        <v>8.9</v>
      </c>
      <c r="J21" s="2">
        <v>8.9</v>
      </c>
      <c r="K21" s="2">
        <v>9.1999999999999993</v>
      </c>
      <c r="L21" s="2">
        <v>9.1</v>
      </c>
      <c r="M21" s="2">
        <v>9.3000000000000007</v>
      </c>
      <c r="N21" s="2">
        <v>8.8000000000000007</v>
      </c>
      <c r="O21" s="2">
        <v>9.5</v>
      </c>
      <c r="P21" s="2">
        <v>9.1999999999999993</v>
      </c>
      <c r="Q21" s="2">
        <v>8.8000000000000007</v>
      </c>
      <c r="R21" s="2">
        <v>9</v>
      </c>
      <c r="S21" s="2">
        <f t="shared" si="0"/>
        <v>9.1</v>
      </c>
      <c r="T21" s="2">
        <v>8.5</v>
      </c>
      <c r="U21" s="2" t="s">
        <v>208</v>
      </c>
      <c r="V21" s="2" t="s">
        <v>257</v>
      </c>
    </row>
    <row r="22" spans="1:22">
      <c r="A22" s="2" t="s">
        <v>255</v>
      </c>
      <c r="B22" s="2" t="s">
        <v>258</v>
      </c>
      <c r="C22" s="2" t="s">
        <v>82</v>
      </c>
      <c r="D22" s="2">
        <v>27</v>
      </c>
      <c r="E22" s="2">
        <v>0</v>
      </c>
      <c r="F22" s="2">
        <v>22</v>
      </c>
      <c r="G22" s="2">
        <v>7.4</v>
      </c>
      <c r="H22" s="2">
        <v>7.5</v>
      </c>
      <c r="I22" s="2">
        <v>7.3</v>
      </c>
      <c r="J22" s="2">
        <v>7.4</v>
      </c>
      <c r="K22" s="2">
        <v>7.2</v>
      </c>
      <c r="L22" s="2">
        <v>7.2</v>
      </c>
      <c r="M22" s="2">
        <v>7.3</v>
      </c>
      <c r="N22" s="2">
        <v>7.1</v>
      </c>
      <c r="O22" s="2">
        <v>7.1</v>
      </c>
      <c r="P22" s="2">
        <v>7.3</v>
      </c>
      <c r="Q22" s="2">
        <v>7.2</v>
      </c>
      <c r="R22" s="2">
        <v>7.3</v>
      </c>
      <c r="S22" s="2">
        <f t="shared" si="0"/>
        <v>7.3</v>
      </c>
      <c r="T22" s="2">
        <v>7.6</v>
      </c>
      <c r="U22" s="2" t="s">
        <v>208</v>
      </c>
      <c r="V22" s="2" t="s">
        <v>259</v>
      </c>
    </row>
    <row r="23" spans="1:22">
      <c r="A23" s="2" t="s">
        <v>260</v>
      </c>
      <c r="B23" s="2" t="s">
        <v>261</v>
      </c>
      <c r="C23" s="2" t="s">
        <v>166</v>
      </c>
      <c r="D23" s="2">
        <v>36</v>
      </c>
      <c r="E23" s="2">
        <v>0</v>
      </c>
      <c r="F23" s="2">
        <v>21</v>
      </c>
      <c r="G23" s="2">
        <v>8.1</v>
      </c>
      <c r="H23" s="2">
        <v>8.1</v>
      </c>
      <c r="I23" s="2">
        <v>8</v>
      </c>
      <c r="J23" s="2">
        <v>8.1999999999999993</v>
      </c>
      <c r="K23" s="2">
        <v>8</v>
      </c>
      <c r="L23" s="2">
        <v>7.9</v>
      </c>
      <c r="M23" s="2">
        <v>8.4</v>
      </c>
      <c r="N23" s="2">
        <v>7.9</v>
      </c>
      <c r="O23" s="2">
        <v>8.1999999999999993</v>
      </c>
      <c r="P23" s="2">
        <v>8.1999999999999993</v>
      </c>
      <c r="Q23" s="2">
        <v>7.7</v>
      </c>
      <c r="R23" s="2">
        <v>8.1</v>
      </c>
      <c r="S23" s="2">
        <f t="shared" si="0"/>
        <v>8.1</v>
      </c>
      <c r="T23" s="2">
        <v>7.9</v>
      </c>
      <c r="U23" s="2" t="s">
        <v>208</v>
      </c>
      <c r="V23" s="2" t="s">
        <v>262</v>
      </c>
    </row>
    <row r="24" spans="1:22">
      <c r="A24" s="2" t="s">
        <v>260</v>
      </c>
      <c r="B24" s="2" t="s">
        <v>263</v>
      </c>
      <c r="C24" s="2" t="s">
        <v>264</v>
      </c>
      <c r="D24" s="2">
        <v>36</v>
      </c>
      <c r="E24" s="2">
        <v>0</v>
      </c>
      <c r="F24" s="2">
        <v>20</v>
      </c>
      <c r="G24" s="2">
        <v>8.1999999999999993</v>
      </c>
      <c r="H24" s="2">
        <v>8.1</v>
      </c>
      <c r="I24" s="2">
        <v>8.1</v>
      </c>
      <c r="J24" s="2">
        <v>8</v>
      </c>
      <c r="K24" s="2">
        <v>8.1</v>
      </c>
      <c r="L24" s="2">
        <v>8</v>
      </c>
      <c r="M24" s="2">
        <v>7.9</v>
      </c>
      <c r="N24" s="2">
        <v>8</v>
      </c>
      <c r="O24" s="2">
        <v>8.5</v>
      </c>
      <c r="P24" s="2">
        <v>8.3000000000000007</v>
      </c>
      <c r="Q24" s="2">
        <v>8.1999999999999993</v>
      </c>
      <c r="R24" s="2">
        <v>8.1</v>
      </c>
      <c r="S24" s="2">
        <f t="shared" si="0"/>
        <v>8.1</v>
      </c>
      <c r="T24" s="2">
        <v>7.9</v>
      </c>
      <c r="U24" s="2" t="s">
        <v>208</v>
      </c>
      <c r="V24" s="2" t="s">
        <v>265</v>
      </c>
    </row>
  </sheetData>
  <mergeCells count="1">
    <mergeCell ref="A1:V1"/>
  </mergeCells>
  <conditionalFormatting sqref="G3:T24">
    <cfRule type="colorScale" priority="1">
      <colorScale>
        <cfvo type="min"/>
        <cfvo type="percentile" val="50"/>
        <cfvo type="max"/>
        <color rgb="FFE0F2FE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workbookViewId="0">
      <selection sqref="A1:P1"/>
    </sheetView>
  </sheetViews>
  <sheetFormatPr defaultRowHeight="14.25"/>
  <cols>
    <col min="1" max="1" width="18" customWidth="1"/>
    <col min="2" max="2" width="24" customWidth="1"/>
    <col min="3" max="3" width="36" customWidth="1"/>
    <col min="4" max="4" width="14" customWidth="1"/>
    <col min="5" max="5" width="16" customWidth="1"/>
    <col min="6" max="6" width="12" customWidth="1"/>
    <col min="7" max="7" width="16" customWidth="1"/>
    <col min="8" max="9" width="14" customWidth="1"/>
    <col min="10" max="10" width="12" customWidth="1"/>
    <col min="11" max="12" width="16" customWidth="1"/>
    <col min="13" max="13" width="14" customWidth="1"/>
    <col min="14" max="14" width="16" customWidth="1"/>
    <col min="15" max="15" width="12" customWidth="1"/>
    <col min="16" max="16" width="60" customWidth="1"/>
  </cols>
  <sheetData>
    <row r="1" spans="1:16">
      <c r="A1" s="3" t="s">
        <v>266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45">
      <c r="A2" s="1" t="s">
        <v>194</v>
      </c>
      <c r="B2" s="1" t="s">
        <v>267</v>
      </c>
      <c r="C2" s="1" t="s">
        <v>268</v>
      </c>
      <c r="D2" s="1" t="s">
        <v>269</v>
      </c>
      <c r="E2" s="1" t="s">
        <v>270</v>
      </c>
      <c r="F2" s="1" t="s">
        <v>271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 t="s">
        <v>278</v>
      </c>
      <c r="N2" s="1" t="s">
        <v>279</v>
      </c>
      <c r="O2" s="1" t="s">
        <v>280</v>
      </c>
      <c r="P2" s="1" t="s">
        <v>206</v>
      </c>
    </row>
    <row r="3" spans="1:16" ht="28.5">
      <c r="A3" s="2" t="s">
        <v>207</v>
      </c>
      <c r="B3" s="2" t="s">
        <v>207</v>
      </c>
      <c r="C3" s="2" t="s">
        <v>281</v>
      </c>
      <c r="D3" s="2">
        <v>302</v>
      </c>
      <c r="E3" s="2">
        <v>1</v>
      </c>
      <c r="F3" s="2">
        <v>9.1</v>
      </c>
      <c r="G3" s="2">
        <v>9.4</v>
      </c>
      <c r="H3" s="2">
        <v>9.1999999999999993</v>
      </c>
      <c r="I3" s="2">
        <v>9</v>
      </c>
      <c r="J3" s="2">
        <v>9</v>
      </c>
      <c r="K3" s="2">
        <v>9.1</v>
      </c>
      <c r="L3" s="2">
        <v>9.4</v>
      </c>
      <c r="M3" s="2">
        <v>9.1999999999999993</v>
      </c>
      <c r="N3" s="2">
        <v>9.4</v>
      </c>
      <c r="O3" s="2">
        <f t="shared" ref="O3:O13" si="0">ROUND(AVERAGE(F3:N3),1)</f>
        <v>9.1999999999999993</v>
      </c>
      <c r="P3" s="2" t="s">
        <v>282</v>
      </c>
    </row>
    <row r="4" spans="1:16" ht="28.5">
      <c r="A4" s="2" t="s">
        <v>211</v>
      </c>
      <c r="B4" s="2" t="s">
        <v>211</v>
      </c>
      <c r="C4" s="2" t="s">
        <v>283</v>
      </c>
      <c r="D4" s="2">
        <v>204</v>
      </c>
      <c r="E4" s="2">
        <v>2</v>
      </c>
      <c r="F4" s="2">
        <v>9.1</v>
      </c>
      <c r="G4" s="2">
        <v>8.9</v>
      </c>
      <c r="H4" s="2">
        <v>8.9</v>
      </c>
      <c r="I4" s="2">
        <v>8.6999999999999993</v>
      </c>
      <c r="J4" s="2">
        <v>8.8000000000000007</v>
      </c>
      <c r="K4" s="2">
        <v>8.8000000000000007</v>
      </c>
      <c r="L4" s="2">
        <v>8.8000000000000007</v>
      </c>
      <c r="M4" s="2">
        <v>8.6999999999999993</v>
      </c>
      <c r="N4" s="2">
        <v>9.5</v>
      </c>
      <c r="O4" s="2">
        <f t="shared" si="0"/>
        <v>8.9</v>
      </c>
      <c r="P4" s="2" t="s">
        <v>284</v>
      </c>
    </row>
    <row r="5" spans="1:16">
      <c r="A5" s="2" t="s">
        <v>215</v>
      </c>
      <c r="B5" s="2" t="s">
        <v>207</v>
      </c>
      <c r="C5" s="2" t="s">
        <v>285</v>
      </c>
      <c r="D5" s="2">
        <v>159</v>
      </c>
      <c r="E5" s="2">
        <v>3</v>
      </c>
      <c r="F5" s="2">
        <v>8.8000000000000007</v>
      </c>
      <c r="G5" s="2">
        <v>8.6999999999999993</v>
      </c>
      <c r="H5" s="2">
        <v>8.9</v>
      </c>
      <c r="I5" s="2">
        <v>8.8000000000000007</v>
      </c>
      <c r="J5" s="2">
        <v>8.6</v>
      </c>
      <c r="K5" s="2">
        <v>8.6999999999999993</v>
      </c>
      <c r="L5" s="2">
        <v>8.6</v>
      </c>
      <c r="M5" s="2">
        <v>8.9</v>
      </c>
      <c r="N5" s="2">
        <v>9.1999999999999993</v>
      </c>
      <c r="O5" s="2">
        <f t="shared" si="0"/>
        <v>8.8000000000000007</v>
      </c>
      <c r="P5" s="2" t="s">
        <v>286</v>
      </c>
    </row>
    <row r="6" spans="1:16">
      <c r="A6" s="2" t="s">
        <v>220</v>
      </c>
      <c r="B6" s="2" t="s">
        <v>287</v>
      </c>
      <c r="C6" s="2" t="s">
        <v>288</v>
      </c>
      <c r="D6" s="2">
        <v>115</v>
      </c>
      <c r="E6" s="2">
        <v>4</v>
      </c>
      <c r="F6" s="2">
        <v>8.5</v>
      </c>
      <c r="G6" s="2">
        <v>8.4</v>
      </c>
      <c r="H6" s="2">
        <v>8.4</v>
      </c>
      <c r="I6" s="2">
        <v>8.6</v>
      </c>
      <c r="J6" s="2">
        <v>8.5</v>
      </c>
      <c r="K6" s="2">
        <v>8.6</v>
      </c>
      <c r="L6" s="2">
        <v>8.5</v>
      </c>
      <c r="M6" s="2">
        <v>8.5</v>
      </c>
      <c r="N6" s="2">
        <v>9.5</v>
      </c>
      <c r="O6" s="2">
        <f t="shared" si="0"/>
        <v>8.6</v>
      </c>
      <c r="P6" s="2" t="s">
        <v>289</v>
      </c>
    </row>
    <row r="7" spans="1:16">
      <c r="A7" s="2" t="s">
        <v>226</v>
      </c>
      <c r="B7" s="2" t="s">
        <v>290</v>
      </c>
      <c r="C7" s="2" t="s">
        <v>291</v>
      </c>
      <c r="D7" s="2">
        <v>57</v>
      </c>
      <c r="E7" s="2">
        <v>5</v>
      </c>
      <c r="F7" s="2">
        <v>7.7</v>
      </c>
      <c r="G7" s="2">
        <v>7.6</v>
      </c>
      <c r="H7" s="2">
        <v>7.7</v>
      </c>
      <c r="I7" s="2">
        <v>7.8</v>
      </c>
      <c r="J7" s="2">
        <v>7.5</v>
      </c>
      <c r="K7" s="2">
        <v>7.7</v>
      </c>
      <c r="L7" s="2">
        <v>7.6</v>
      </c>
      <c r="M7" s="2">
        <v>7.7</v>
      </c>
      <c r="N7" s="2">
        <v>7.6</v>
      </c>
      <c r="O7" s="2">
        <f t="shared" si="0"/>
        <v>7.7</v>
      </c>
      <c r="P7" s="2" t="s">
        <v>292</v>
      </c>
    </row>
    <row r="8" spans="1:16">
      <c r="A8" s="2" t="s">
        <v>232</v>
      </c>
      <c r="B8" s="2" t="s">
        <v>287</v>
      </c>
      <c r="C8" s="2" t="s">
        <v>293</v>
      </c>
      <c r="D8" s="2">
        <v>44</v>
      </c>
      <c r="E8" s="2">
        <v>6</v>
      </c>
      <c r="F8" s="2">
        <v>7.5</v>
      </c>
      <c r="G8" s="2">
        <v>7.5</v>
      </c>
      <c r="H8" s="2">
        <v>7.4</v>
      </c>
      <c r="I8" s="2">
        <v>7.6</v>
      </c>
      <c r="J8" s="2">
        <v>7.5</v>
      </c>
      <c r="K8" s="2">
        <v>7.4</v>
      </c>
      <c r="L8" s="2">
        <v>7.5</v>
      </c>
      <c r="M8" s="2">
        <v>7.4</v>
      </c>
      <c r="N8" s="2">
        <v>7.3</v>
      </c>
      <c r="O8" s="2">
        <f t="shared" si="0"/>
        <v>7.5</v>
      </c>
      <c r="P8" s="2" t="s">
        <v>294</v>
      </c>
    </row>
    <row r="9" spans="1:16">
      <c r="A9" s="2" t="s">
        <v>238</v>
      </c>
      <c r="B9" s="2" t="s">
        <v>211</v>
      </c>
      <c r="C9" s="2" t="s">
        <v>295</v>
      </c>
      <c r="D9" s="2">
        <v>21</v>
      </c>
      <c r="E9" s="2">
        <v>7</v>
      </c>
      <c r="F9" s="2">
        <v>7.4</v>
      </c>
      <c r="G9" s="2">
        <v>7.3</v>
      </c>
      <c r="H9" s="2">
        <v>7.2</v>
      </c>
      <c r="I9" s="2">
        <v>7.3</v>
      </c>
      <c r="J9" s="2">
        <v>7.2</v>
      </c>
      <c r="K9" s="2">
        <v>7.2</v>
      </c>
      <c r="L9" s="2">
        <v>7.1</v>
      </c>
      <c r="M9" s="2">
        <v>7.2</v>
      </c>
      <c r="N9" s="2">
        <v>7</v>
      </c>
      <c r="O9" s="2">
        <f t="shared" si="0"/>
        <v>7.2</v>
      </c>
      <c r="P9" s="2" t="s">
        <v>296</v>
      </c>
    </row>
    <row r="10" spans="1:16">
      <c r="A10" s="2" t="s">
        <v>243</v>
      </c>
      <c r="B10" s="2" t="s">
        <v>207</v>
      </c>
      <c r="C10" s="2" t="s">
        <v>297</v>
      </c>
      <c r="D10" s="2">
        <v>11</v>
      </c>
      <c r="E10" s="2">
        <v>8</v>
      </c>
      <c r="F10" s="2">
        <v>7.3</v>
      </c>
      <c r="G10" s="2">
        <v>7.4</v>
      </c>
      <c r="H10" s="2">
        <v>7.1</v>
      </c>
      <c r="I10" s="2">
        <v>7.2</v>
      </c>
      <c r="J10" s="2">
        <v>7</v>
      </c>
      <c r="K10" s="2">
        <v>7.3</v>
      </c>
      <c r="L10" s="2">
        <v>7</v>
      </c>
      <c r="M10" s="2">
        <v>7.1</v>
      </c>
      <c r="N10" s="2">
        <v>8.1</v>
      </c>
      <c r="O10" s="2">
        <f t="shared" si="0"/>
        <v>7.3</v>
      </c>
      <c r="P10" s="2" t="s">
        <v>298</v>
      </c>
    </row>
    <row r="11" spans="1:16" ht="28.5">
      <c r="A11" s="2" t="s">
        <v>249</v>
      </c>
      <c r="B11" s="2" t="s">
        <v>249</v>
      </c>
      <c r="C11" s="2" t="s">
        <v>299</v>
      </c>
      <c r="D11" s="2">
        <v>2</v>
      </c>
      <c r="E11" s="2">
        <v>9</v>
      </c>
      <c r="F11" s="2">
        <v>7</v>
      </c>
      <c r="G11" s="2">
        <v>6.8</v>
      </c>
      <c r="H11" s="2">
        <v>6.6</v>
      </c>
      <c r="I11" s="2">
        <v>6.8</v>
      </c>
      <c r="J11" s="2">
        <v>6.6</v>
      </c>
      <c r="K11" s="2">
        <v>6.8</v>
      </c>
      <c r="L11" s="2">
        <v>6.5</v>
      </c>
      <c r="M11" s="2">
        <v>6.7</v>
      </c>
      <c r="N11" s="2">
        <v>8.3000000000000007</v>
      </c>
      <c r="O11" s="2">
        <f t="shared" si="0"/>
        <v>6.9</v>
      </c>
      <c r="P11" s="2" t="s">
        <v>300</v>
      </c>
    </row>
    <row r="12" spans="1:16" ht="28.5">
      <c r="A12" s="2" t="s">
        <v>255</v>
      </c>
      <c r="B12" s="2" t="s">
        <v>301</v>
      </c>
      <c r="C12" s="2" t="s">
        <v>302</v>
      </c>
      <c r="D12" s="2">
        <v>1</v>
      </c>
      <c r="E12" s="2">
        <v>10</v>
      </c>
      <c r="F12" s="2">
        <v>6.9</v>
      </c>
      <c r="G12" s="2">
        <v>6.8</v>
      </c>
      <c r="H12" s="2">
        <v>6.7</v>
      </c>
      <c r="I12" s="2">
        <v>6.7</v>
      </c>
      <c r="J12" s="2">
        <v>6.6</v>
      </c>
      <c r="K12" s="2">
        <v>6.8</v>
      </c>
      <c r="L12" s="2">
        <v>6.7</v>
      </c>
      <c r="M12" s="2">
        <v>6.7</v>
      </c>
      <c r="N12" s="2">
        <v>8.4</v>
      </c>
      <c r="O12" s="2">
        <f t="shared" si="0"/>
        <v>6.9</v>
      </c>
      <c r="P12" s="2" t="s">
        <v>303</v>
      </c>
    </row>
    <row r="13" spans="1:16" ht="28.5">
      <c r="A13" s="2" t="s">
        <v>260</v>
      </c>
      <c r="B13" s="2" t="s">
        <v>211</v>
      </c>
      <c r="C13" s="2" t="s">
        <v>304</v>
      </c>
      <c r="D13" s="2">
        <v>0</v>
      </c>
      <c r="E13" s="2">
        <v>11</v>
      </c>
      <c r="F13" s="2">
        <v>6.4</v>
      </c>
      <c r="G13" s="2">
        <v>6.1</v>
      </c>
      <c r="H13" s="2">
        <v>6</v>
      </c>
      <c r="I13" s="2">
        <v>6.1</v>
      </c>
      <c r="J13" s="2">
        <v>6</v>
      </c>
      <c r="K13" s="2">
        <v>6.2</v>
      </c>
      <c r="L13" s="2">
        <v>5.9</v>
      </c>
      <c r="M13" s="2">
        <v>6.1</v>
      </c>
      <c r="N13" s="2">
        <v>8</v>
      </c>
      <c r="O13" s="2">
        <f t="shared" si="0"/>
        <v>6.3</v>
      </c>
      <c r="P13" s="2" t="s">
        <v>305</v>
      </c>
    </row>
  </sheetData>
  <mergeCells count="1">
    <mergeCell ref="A1:P1"/>
  </mergeCells>
  <conditionalFormatting sqref="F3:O1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>
      <selection sqref="A1:N1"/>
    </sheetView>
  </sheetViews>
  <sheetFormatPr defaultRowHeight="14.25"/>
  <cols>
    <col min="1" max="1" width="16" customWidth="1"/>
    <col min="2" max="2" width="20" customWidth="1"/>
    <col min="3" max="3" width="14" customWidth="1"/>
    <col min="4" max="4" width="7" customWidth="1"/>
    <col min="5" max="5" width="24" customWidth="1"/>
    <col min="6" max="6" width="18" customWidth="1"/>
    <col min="7" max="8" width="12" customWidth="1"/>
    <col min="9" max="9" width="14" customWidth="1"/>
    <col min="10" max="10" width="12" customWidth="1"/>
    <col min="11" max="11" width="14" customWidth="1"/>
    <col min="12" max="12" width="16" customWidth="1"/>
    <col min="13" max="13" width="28" customWidth="1"/>
    <col min="14" max="14" width="58" customWidth="1"/>
  </cols>
  <sheetData>
    <row r="1" spans="1:14">
      <c r="A1" s="3" t="s">
        <v>306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0">
      <c r="A2" s="1" t="s">
        <v>307</v>
      </c>
      <c r="B2" s="1" t="s">
        <v>195</v>
      </c>
      <c r="C2" s="1" t="s">
        <v>196</v>
      </c>
      <c r="D2" s="1" t="s">
        <v>197</v>
      </c>
      <c r="E2" s="1" t="s">
        <v>308</v>
      </c>
      <c r="F2" s="1" t="s">
        <v>309</v>
      </c>
      <c r="G2" s="1" t="s">
        <v>203</v>
      </c>
      <c r="H2" s="1" t="s">
        <v>204</v>
      </c>
      <c r="I2" s="1" t="s">
        <v>310</v>
      </c>
      <c r="J2" s="1" t="s">
        <v>311</v>
      </c>
      <c r="K2" s="1" t="s">
        <v>312</v>
      </c>
      <c r="L2" s="1" t="s">
        <v>313</v>
      </c>
      <c r="M2" s="1" t="s">
        <v>314</v>
      </c>
      <c r="N2" s="1" t="s">
        <v>315</v>
      </c>
    </row>
    <row r="3" spans="1:14" ht="28.5">
      <c r="A3" s="2" t="s">
        <v>316</v>
      </c>
      <c r="B3" s="2" t="s">
        <v>317</v>
      </c>
      <c r="C3" s="2" t="s">
        <v>69</v>
      </c>
      <c r="D3" s="2">
        <v>26</v>
      </c>
      <c r="E3" s="2" t="s">
        <v>318</v>
      </c>
      <c r="F3" s="2" t="s">
        <v>319</v>
      </c>
      <c r="G3" s="2">
        <v>8</v>
      </c>
      <c r="H3" s="2">
        <v>8.1</v>
      </c>
      <c r="I3" s="2" t="s">
        <v>54</v>
      </c>
      <c r="J3" s="2">
        <v>7</v>
      </c>
      <c r="K3" s="2">
        <v>7</v>
      </c>
      <c r="L3" s="2">
        <v>7</v>
      </c>
      <c r="M3" s="2" t="s">
        <v>320</v>
      </c>
      <c r="N3" s="2" t="s">
        <v>321</v>
      </c>
    </row>
    <row r="4" spans="1:14" ht="28.5">
      <c r="A4" s="2" t="s">
        <v>322</v>
      </c>
      <c r="B4" s="2" t="s">
        <v>323</v>
      </c>
      <c r="C4" s="2" t="s">
        <v>49</v>
      </c>
      <c r="D4" s="2">
        <v>36</v>
      </c>
      <c r="E4" s="2" t="s">
        <v>324</v>
      </c>
      <c r="F4" s="2" t="s">
        <v>325</v>
      </c>
      <c r="G4" s="2">
        <v>7.9</v>
      </c>
      <c r="H4" s="2">
        <v>7.4</v>
      </c>
      <c r="I4" s="2" t="s">
        <v>54</v>
      </c>
      <c r="J4" s="2">
        <v>9</v>
      </c>
      <c r="K4" s="2">
        <v>5</v>
      </c>
      <c r="L4" s="2">
        <v>6</v>
      </c>
      <c r="M4" s="2" t="s">
        <v>326</v>
      </c>
      <c r="N4" s="2" t="s">
        <v>327</v>
      </c>
    </row>
    <row r="5" spans="1:14">
      <c r="A5" s="2" t="s">
        <v>322</v>
      </c>
      <c r="B5" s="2" t="s">
        <v>328</v>
      </c>
      <c r="C5" s="2" t="s">
        <v>329</v>
      </c>
      <c r="D5" s="2">
        <v>33</v>
      </c>
      <c r="E5" s="2" t="s">
        <v>330</v>
      </c>
      <c r="F5" s="2" t="s">
        <v>325</v>
      </c>
      <c r="G5" s="2">
        <v>7.8</v>
      </c>
      <c r="H5" s="2">
        <v>7.2</v>
      </c>
      <c r="I5" s="2" t="s">
        <v>331</v>
      </c>
      <c r="J5" s="2">
        <v>5</v>
      </c>
      <c r="K5" s="2">
        <v>6</v>
      </c>
      <c r="L5" s="2">
        <v>5</v>
      </c>
      <c r="M5" s="2" t="s">
        <v>332</v>
      </c>
      <c r="N5" s="2" t="s">
        <v>333</v>
      </c>
    </row>
    <row r="6" spans="1:14">
      <c r="A6" s="2" t="s">
        <v>322</v>
      </c>
      <c r="B6" s="2" t="s">
        <v>334</v>
      </c>
      <c r="C6" s="2" t="s">
        <v>60</v>
      </c>
      <c r="D6" s="2">
        <v>27</v>
      </c>
      <c r="E6" s="2" t="s">
        <v>335</v>
      </c>
      <c r="F6" s="2" t="s">
        <v>336</v>
      </c>
      <c r="G6" s="2">
        <v>7.6</v>
      </c>
      <c r="H6" s="2">
        <v>7.8</v>
      </c>
      <c r="I6" s="2" t="s">
        <v>54</v>
      </c>
      <c r="J6" s="2">
        <v>8</v>
      </c>
      <c r="K6" s="2">
        <v>8</v>
      </c>
      <c r="L6" s="2">
        <v>6</v>
      </c>
      <c r="M6" s="2" t="s">
        <v>337</v>
      </c>
      <c r="N6" s="2" t="s">
        <v>338</v>
      </c>
    </row>
    <row r="7" spans="1:14">
      <c r="A7" s="2" t="s">
        <v>322</v>
      </c>
      <c r="B7" s="2" t="s">
        <v>339</v>
      </c>
      <c r="C7" s="2" t="s">
        <v>253</v>
      </c>
      <c r="D7" s="2">
        <v>27</v>
      </c>
      <c r="E7" s="2" t="s">
        <v>340</v>
      </c>
      <c r="F7" s="2" t="s">
        <v>319</v>
      </c>
      <c r="G7" s="2">
        <v>7.7</v>
      </c>
      <c r="H7" s="2">
        <v>8</v>
      </c>
      <c r="I7" s="2" t="s">
        <v>54</v>
      </c>
      <c r="J7" s="2">
        <v>8</v>
      </c>
      <c r="K7" s="2">
        <v>7</v>
      </c>
      <c r="L7" s="2">
        <v>6</v>
      </c>
      <c r="M7" s="2" t="s">
        <v>341</v>
      </c>
      <c r="N7" s="2" t="s">
        <v>342</v>
      </c>
    </row>
    <row r="8" spans="1:14">
      <c r="A8" s="2" t="s">
        <v>322</v>
      </c>
      <c r="B8" s="2" t="s">
        <v>343</v>
      </c>
      <c r="C8" s="2" t="s">
        <v>49</v>
      </c>
      <c r="D8" s="2">
        <v>23</v>
      </c>
      <c r="E8" s="2" t="s">
        <v>344</v>
      </c>
      <c r="F8" s="2" t="s">
        <v>345</v>
      </c>
      <c r="G8" s="2">
        <v>7.5</v>
      </c>
      <c r="H8" s="2">
        <v>8.1999999999999993</v>
      </c>
      <c r="I8" s="2" t="s">
        <v>331</v>
      </c>
      <c r="J8" s="2">
        <v>4</v>
      </c>
      <c r="K8" s="2">
        <v>8</v>
      </c>
      <c r="L8" s="2">
        <v>5</v>
      </c>
      <c r="M8" s="2" t="s">
        <v>346</v>
      </c>
      <c r="N8" s="2" t="s">
        <v>347</v>
      </c>
    </row>
    <row r="9" spans="1:14">
      <c r="A9" s="2" t="s">
        <v>322</v>
      </c>
      <c r="B9" s="2" t="s">
        <v>348</v>
      </c>
      <c r="C9" s="2" t="s">
        <v>131</v>
      </c>
      <c r="D9" s="2">
        <v>31</v>
      </c>
      <c r="E9" s="2" t="s">
        <v>349</v>
      </c>
      <c r="F9" s="2" t="s">
        <v>350</v>
      </c>
      <c r="G9" s="2">
        <v>7.6</v>
      </c>
      <c r="H9" s="2">
        <v>7.5</v>
      </c>
      <c r="I9" s="2" t="s">
        <v>54</v>
      </c>
      <c r="J9" s="2">
        <v>4</v>
      </c>
      <c r="K9" s="2">
        <v>5</v>
      </c>
      <c r="L9" s="2">
        <v>5</v>
      </c>
      <c r="M9" s="2" t="s">
        <v>351</v>
      </c>
      <c r="N9" s="2" t="s">
        <v>352</v>
      </c>
    </row>
    <row r="10" spans="1:14">
      <c r="A10" s="2" t="s">
        <v>322</v>
      </c>
      <c r="B10" s="2" t="s">
        <v>353</v>
      </c>
      <c r="C10" s="2" t="s">
        <v>172</v>
      </c>
      <c r="D10" s="2">
        <v>26</v>
      </c>
      <c r="E10" s="2" t="s">
        <v>354</v>
      </c>
      <c r="F10" s="2" t="s">
        <v>319</v>
      </c>
      <c r="G10" s="2">
        <v>7.7</v>
      </c>
      <c r="H10" s="2">
        <v>8.1999999999999993</v>
      </c>
      <c r="I10" s="2" t="s">
        <v>54</v>
      </c>
      <c r="J10" s="2">
        <v>5</v>
      </c>
      <c r="K10" s="2">
        <v>8</v>
      </c>
      <c r="L10" s="2">
        <v>6</v>
      </c>
      <c r="M10" s="2" t="s">
        <v>355</v>
      </c>
      <c r="N10" s="2" t="s">
        <v>356</v>
      </c>
    </row>
    <row r="11" spans="1:14">
      <c r="A11" s="2" t="s">
        <v>357</v>
      </c>
      <c r="B11" s="2" t="s">
        <v>358</v>
      </c>
      <c r="C11" s="2" t="s">
        <v>224</v>
      </c>
      <c r="D11" s="2">
        <v>22</v>
      </c>
      <c r="E11" s="2" t="s">
        <v>359</v>
      </c>
      <c r="F11" s="2" t="s">
        <v>360</v>
      </c>
      <c r="G11" s="2">
        <v>7.8</v>
      </c>
      <c r="H11" s="2">
        <v>8.5</v>
      </c>
      <c r="I11" s="2" t="s">
        <v>54</v>
      </c>
      <c r="J11" s="2">
        <v>5</v>
      </c>
      <c r="K11" s="2">
        <v>8</v>
      </c>
      <c r="L11" s="2">
        <v>7</v>
      </c>
      <c r="M11" s="2" t="s">
        <v>361</v>
      </c>
      <c r="N11" s="2" t="s">
        <v>362</v>
      </c>
    </row>
    <row r="12" spans="1:14">
      <c r="A12" s="2" t="s">
        <v>357</v>
      </c>
      <c r="B12" s="2" t="s">
        <v>363</v>
      </c>
      <c r="C12" s="2" t="s">
        <v>329</v>
      </c>
      <c r="D12" s="2">
        <v>24</v>
      </c>
      <c r="E12" s="2" t="s">
        <v>364</v>
      </c>
      <c r="F12" s="2" t="s">
        <v>365</v>
      </c>
      <c r="G12" s="2">
        <v>7.5</v>
      </c>
      <c r="H12" s="2">
        <v>8</v>
      </c>
      <c r="I12" s="2" t="s">
        <v>331</v>
      </c>
      <c r="J12" s="2">
        <v>4</v>
      </c>
      <c r="K12" s="2">
        <v>7</v>
      </c>
      <c r="L12" s="2">
        <v>5</v>
      </c>
      <c r="M12" s="2" t="s">
        <v>366</v>
      </c>
      <c r="N12" s="2" t="s">
        <v>367</v>
      </c>
    </row>
    <row r="13" spans="1:14">
      <c r="A13" s="2" t="s">
        <v>357</v>
      </c>
      <c r="B13" s="2" t="s">
        <v>368</v>
      </c>
      <c r="C13" s="2" t="s">
        <v>224</v>
      </c>
      <c r="D13" s="2">
        <v>25</v>
      </c>
      <c r="E13" s="2" t="s">
        <v>369</v>
      </c>
      <c r="F13" s="2" t="s">
        <v>370</v>
      </c>
      <c r="G13" s="2">
        <v>7.5</v>
      </c>
      <c r="H13" s="2">
        <v>8.1</v>
      </c>
      <c r="I13" s="2" t="s">
        <v>331</v>
      </c>
      <c r="J13" s="2">
        <v>4</v>
      </c>
      <c r="K13" s="2">
        <v>7</v>
      </c>
      <c r="L13" s="2">
        <v>5</v>
      </c>
      <c r="M13" s="2" t="s">
        <v>371</v>
      </c>
      <c r="N13" s="2" t="s">
        <v>372</v>
      </c>
    </row>
    <row r="14" spans="1:14">
      <c r="A14" s="2" t="s">
        <v>357</v>
      </c>
      <c r="B14" s="2" t="s">
        <v>373</v>
      </c>
      <c r="C14" s="2" t="s">
        <v>374</v>
      </c>
      <c r="D14" s="2">
        <v>22</v>
      </c>
      <c r="E14" s="2" t="s">
        <v>375</v>
      </c>
      <c r="F14" s="2" t="s">
        <v>370</v>
      </c>
      <c r="G14" s="2">
        <v>7.6</v>
      </c>
      <c r="H14" s="2">
        <v>8.4</v>
      </c>
      <c r="I14" s="2" t="s">
        <v>331</v>
      </c>
      <c r="J14" s="2">
        <v>3</v>
      </c>
      <c r="K14" s="2">
        <v>8</v>
      </c>
      <c r="L14" s="2">
        <v>5</v>
      </c>
      <c r="M14" s="2" t="s">
        <v>376</v>
      </c>
      <c r="N14" s="2" t="s">
        <v>377</v>
      </c>
    </row>
    <row r="15" spans="1:14">
      <c r="A15" s="2" t="s">
        <v>357</v>
      </c>
      <c r="B15" s="2" t="s">
        <v>378</v>
      </c>
      <c r="C15" s="2" t="s">
        <v>379</v>
      </c>
      <c r="D15" s="2">
        <v>22</v>
      </c>
      <c r="E15" s="2" t="s">
        <v>380</v>
      </c>
      <c r="F15" s="2" t="s">
        <v>370</v>
      </c>
      <c r="G15" s="2">
        <v>7.5</v>
      </c>
      <c r="H15" s="2">
        <v>8.5</v>
      </c>
      <c r="I15" s="2" t="s">
        <v>331</v>
      </c>
      <c r="J15" s="2">
        <v>4</v>
      </c>
      <c r="K15" s="2">
        <v>8</v>
      </c>
      <c r="L15" s="2">
        <v>6</v>
      </c>
      <c r="M15" s="2" t="s">
        <v>381</v>
      </c>
      <c r="N15" s="2" t="s">
        <v>382</v>
      </c>
    </row>
    <row r="16" spans="1:14">
      <c r="A16" s="2" t="s">
        <v>357</v>
      </c>
      <c r="B16" s="2" t="s">
        <v>383</v>
      </c>
      <c r="C16" s="2" t="s">
        <v>76</v>
      </c>
      <c r="D16" s="2">
        <v>21</v>
      </c>
      <c r="E16" s="2" t="s">
        <v>380</v>
      </c>
      <c r="F16" s="2" t="s">
        <v>384</v>
      </c>
      <c r="G16" s="2">
        <v>7.4</v>
      </c>
      <c r="H16" s="2">
        <v>8.1999999999999993</v>
      </c>
      <c r="I16" s="2" t="s">
        <v>331</v>
      </c>
      <c r="J16" s="2">
        <v>7</v>
      </c>
      <c r="K16" s="2">
        <v>8</v>
      </c>
      <c r="L16" s="2">
        <v>5</v>
      </c>
      <c r="M16" s="2" t="s">
        <v>385</v>
      </c>
      <c r="N16" s="2" t="s">
        <v>386</v>
      </c>
    </row>
    <row r="17" spans="1:14">
      <c r="A17" s="2" t="s">
        <v>357</v>
      </c>
      <c r="B17" s="2" t="s">
        <v>387</v>
      </c>
      <c r="C17" s="2" t="s">
        <v>69</v>
      </c>
      <c r="D17" s="2">
        <v>25</v>
      </c>
      <c r="E17" s="2" t="s">
        <v>388</v>
      </c>
      <c r="F17" s="2" t="s">
        <v>389</v>
      </c>
      <c r="G17" s="2">
        <v>7.6</v>
      </c>
      <c r="H17" s="2">
        <v>8.1999999999999993</v>
      </c>
      <c r="I17" s="2" t="s">
        <v>331</v>
      </c>
      <c r="J17" s="2">
        <v>6</v>
      </c>
      <c r="K17" s="2">
        <v>7</v>
      </c>
      <c r="L17" s="2">
        <v>5</v>
      </c>
      <c r="M17" s="2" t="s">
        <v>390</v>
      </c>
      <c r="N17" s="2" t="s">
        <v>391</v>
      </c>
    </row>
    <row r="18" spans="1:14">
      <c r="A18" s="2" t="s">
        <v>357</v>
      </c>
      <c r="B18" s="2" t="s">
        <v>392</v>
      </c>
      <c r="C18" s="2" t="s">
        <v>393</v>
      </c>
      <c r="D18" s="2">
        <v>20</v>
      </c>
      <c r="E18" s="2" t="s">
        <v>380</v>
      </c>
      <c r="F18" s="2" t="s">
        <v>370</v>
      </c>
      <c r="G18" s="2">
        <v>7.3</v>
      </c>
      <c r="H18" s="2">
        <v>8.6</v>
      </c>
      <c r="I18" s="2" t="s">
        <v>140</v>
      </c>
      <c r="J18" s="2">
        <v>3</v>
      </c>
      <c r="K18" s="2">
        <v>8</v>
      </c>
      <c r="L18" s="2">
        <v>6</v>
      </c>
      <c r="M18" s="2" t="s">
        <v>394</v>
      </c>
      <c r="N18" s="2" t="s">
        <v>395</v>
      </c>
    </row>
    <row r="19" spans="1:14">
      <c r="A19" s="2" t="s">
        <v>357</v>
      </c>
      <c r="B19" s="2" t="s">
        <v>396</v>
      </c>
      <c r="C19" s="2" t="s">
        <v>172</v>
      </c>
      <c r="D19" s="2">
        <v>21</v>
      </c>
      <c r="E19" s="2" t="s">
        <v>397</v>
      </c>
      <c r="F19" s="2" t="s">
        <v>370</v>
      </c>
      <c r="G19" s="2">
        <v>7.2</v>
      </c>
      <c r="H19" s="2">
        <v>8.6999999999999993</v>
      </c>
      <c r="I19" s="2" t="s">
        <v>140</v>
      </c>
      <c r="J19" s="2">
        <v>5</v>
      </c>
      <c r="K19" s="2">
        <v>8</v>
      </c>
      <c r="L19" s="2">
        <v>6</v>
      </c>
      <c r="M19" s="2" t="s">
        <v>398</v>
      </c>
      <c r="N19" s="2" t="s">
        <v>399</v>
      </c>
    </row>
    <row r="20" spans="1:14">
      <c r="A20" s="2" t="s">
        <v>357</v>
      </c>
      <c r="B20" s="2" t="s">
        <v>400</v>
      </c>
      <c r="C20" s="2" t="s">
        <v>76</v>
      </c>
      <c r="D20" s="2">
        <v>19</v>
      </c>
      <c r="E20" s="2" t="s">
        <v>397</v>
      </c>
      <c r="F20" s="2" t="s">
        <v>370</v>
      </c>
      <c r="G20" s="2">
        <v>7.1</v>
      </c>
      <c r="H20" s="2">
        <v>8.6</v>
      </c>
      <c r="I20" s="2" t="s">
        <v>140</v>
      </c>
      <c r="J20" s="2">
        <v>8</v>
      </c>
      <c r="K20" s="2">
        <v>8</v>
      </c>
      <c r="L20" s="2">
        <v>6</v>
      </c>
      <c r="M20" s="2" t="s">
        <v>401</v>
      </c>
      <c r="N20" s="2" t="s">
        <v>402</v>
      </c>
    </row>
    <row r="21" spans="1:14">
      <c r="A21" s="2" t="s">
        <v>357</v>
      </c>
      <c r="B21" s="2" t="s">
        <v>403</v>
      </c>
      <c r="C21" s="2" t="s">
        <v>109</v>
      </c>
      <c r="D21" s="2">
        <v>24</v>
      </c>
      <c r="E21" s="2" t="s">
        <v>380</v>
      </c>
      <c r="F21" s="2" t="s">
        <v>389</v>
      </c>
      <c r="G21" s="2">
        <v>7.3</v>
      </c>
      <c r="H21" s="2">
        <v>8</v>
      </c>
      <c r="I21" s="2" t="s">
        <v>140</v>
      </c>
      <c r="J21" s="2">
        <v>4</v>
      </c>
      <c r="K21" s="2">
        <v>7</v>
      </c>
      <c r="L21" s="2">
        <v>5</v>
      </c>
      <c r="M21" s="2" t="s">
        <v>404</v>
      </c>
      <c r="N21" s="2" t="s">
        <v>405</v>
      </c>
    </row>
    <row r="22" spans="1:14">
      <c r="A22" s="2" t="s">
        <v>357</v>
      </c>
      <c r="B22" s="2" t="s">
        <v>406</v>
      </c>
      <c r="C22" s="2" t="s">
        <v>49</v>
      </c>
      <c r="D22" s="2">
        <v>21</v>
      </c>
      <c r="E22" s="2" t="s">
        <v>380</v>
      </c>
      <c r="F22" s="2" t="s">
        <v>370</v>
      </c>
      <c r="G22" s="2">
        <v>7.1</v>
      </c>
      <c r="H22" s="2">
        <v>8</v>
      </c>
      <c r="I22" s="2" t="s">
        <v>140</v>
      </c>
      <c r="J22" s="2">
        <v>3</v>
      </c>
      <c r="K22" s="2">
        <v>7</v>
      </c>
      <c r="L22" s="2">
        <v>5</v>
      </c>
      <c r="M22" s="2" t="s">
        <v>407</v>
      </c>
      <c r="N22" s="2" t="s">
        <v>408</v>
      </c>
    </row>
    <row r="23" spans="1:14">
      <c r="A23" s="2" t="s">
        <v>409</v>
      </c>
      <c r="B23" s="2" t="s">
        <v>410</v>
      </c>
      <c r="C23" s="2" t="s">
        <v>166</v>
      </c>
      <c r="D23" s="2">
        <v>27</v>
      </c>
      <c r="E23" s="2" t="s">
        <v>411</v>
      </c>
      <c r="F23" s="2" t="s">
        <v>412</v>
      </c>
      <c r="G23" s="2">
        <v>8</v>
      </c>
      <c r="H23" s="2">
        <v>8.1999999999999993</v>
      </c>
      <c r="I23" s="2" t="s">
        <v>127</v>
      </c>
      <c r="J23" s="2">
        <v>8</v>
      </c>
      <c r="K23" s="2">
        <v>6</v>
      </c>
      <c r="L23" s="2">
        <v>8</v>
      </c>
      <c r="M23" s="2" t="s">
        <v>413</v>
      </c>
      <c r="N23" s="2" t="s">
        <v>414</v>
      </c>
    </row>
    <row r="24" spans="1:14">
      <c r="A24" s="2" t="s">
        <v>409</v>
      </c>
      <c r="B24" s="2" t="s">
        <v>415</v>
      </c>
      <c r="C24" s="2" t="s">
        <v>76</v>
      </c>
      <c r="D24" s="2">
        <v>26</v>
      </c>
      <c r="E24" s="2" t="s">
        <v>411</v>
      </c>
      <c r="F24" s="2" t="s">
        <v>412</v>
      </c>
      <c r="G24" s="2">
        <v>7.8</v>
      </c>
      <c r="H24" s="2">
        <v>8.1</v>
      </c>
      <c r="I24" s="2" t="s">
        <v>127</v>
      </c>
      <c r="J24" s="2">
        <v>9</v>
      </c>
      <c r="K24" s="2">
        <v>6</v>
      </c>
      <c r="L24" s="2">
        <v>8</v>
      </c>
      <c r="M24" s="2" t="s">
        <v>416</v>
      </c>
      <c r="N24" s="2" t="s">
        <v>417</v>
      </c>
    </row>
    <row r="25" spans="1:14">
      <c r="A25" s="2" t="s">
        <v>409</v>
      </c>
      <c r="B25" s="2" t="s">
        <v>418</v>
      </c>
      <c r="C25" s="2" t="s">
        <v>96</v>
      </c>
      <c r="D25" s="2">
        <v>29</v>
      </c>
      <c r="E25" s="2" t="s">
        <v>419</v>
      </c>
      <c r="F25" s="2" t="s">
        <v>420</v>
      </c>
      <c r="G25" s="2">
        <v>8.3000000000000007</v>
      </c>
      <c r="H25" s="2">
        <v>8.4</v>
      </c>
      <c r="I25" s="2" t="s">
        <v>127</v>
      </c>
      <c r="J25" s="2">
        <v>6</v>
      </c>
      <c r="K25" s="2">
        <v>5</v>
      </c>
      <c r="L25" s="2">
        <v>9</v>
      </c>
      <c r="M25" s="2" t="s">
        <v>421</v>
      </c>
      <c r="N25" s="2" t="s">
        <v>422</v>
      </c>
    </row>
    <row r="26" spans="1:14">
      <c r="A26" s="2" t="s">
        <v>409</v>
      </c>
      <c r="B26" s="2" t="s">
        <v>423</v>
      </c>
      <c r="C26" s="2" t="s">
        <v>109</v>
      </c>
      <c r="D26" s="2">
        <v>27</v>
      </c>
      <c r="E26" s="2" t="s">
        <v>424</v>
      </c>
      <c r="F26" s="2" t="s">
        <v>319</v>
      </c>
      <c r="G26" s="2">
        <v>7.6</v>
      </c>
      <c r="H26" s="2">
        <v>7.7</v>
      </c>
      <c r="I26" s="2" t="s">
        <v>54</v>
      </c>
      <c r="J26" s="2">
        <v>4</v>
      </c>
      <c r="K26" s="2">
        <v>6</v>
      </c>
      <c r="L26" s="2">
        <v>5</v>
      </c>
      <c r="M26" s="2" t="s">
        <v>425</v>
      </c>
      <c r="N26" s="2" t="s">
        <v>426</v>
      </c>
    </row>
    <row r="27" spans="1:14" ht="28.5">
      <c r="A27" s="2" t="s">
        <v>427</v>
      </c>
      <c r="B27" s="2" t="s">
        <v>428</v>
      </c>
      <c r="C27" s="2" t="s">
        <v>429</v>
      </c>
      <c r="D27" s="2">
        <v>26</v>
      </c>
      <c r="E27" s="2" t="s">
        <v>430</v>
      </c>
      <c r="F27" s="2" t="s">
        <v>365</v>
      </c>
      <c r="G27" s="2">
        <v>7.4</v>
      </c>
      <c r="H27" s="2">
        <v>7.8</v>
      </c>
      <c r="I27" s="2" t="s">
        <v>331</v>
      </c>
      <c r="J27" s="2">
        <v>4</v>
      </c>
      <c r="K27" s="2">
        <v>7</v>
      </c>
      <c r="L27" s="2">
        <v>5</v>
      </c>
      <c r="M27" s="2" t="s">
        <v>431</v>
      </c>
      <c r="N27" s="2" t="s">
        <v>432</v>
      </c>
    </row>
    <row r="28" spans="1:14" ht="28.5">
      <c r="A28" s="2" t="s">
        <v>427</v>
      </c>
      <c r="B28" s="2" t="s">
        <v>433</v>
      </c>
      <c r="C28" s="2" t="s">
        <v>69</v>
      </c>
      <c r="D28" s="2">
        <v>32</v>
      </c>
      <c r="E28" s="2" t="s">
        <v>434</v>
      </c>
      <c r="F28" s="2" t="s">
        <v>365</v>
      </c>
      <c r="G28" s="2">
        <v>7.5</v>
      </c>
      <c r="H28" s="2">
        <v>7.3</v>
      </c>
      <c r="I28" s="2" t="s">
        <v>54</v>
      </c>
      <c r="J28" s="2">
        <v>5</v>
      </c>
      <c r="K28" s="2">
        <v>5</v>
      </c>
      <c r="L28" s="2">
        <v>5</v>
      </c>
      <c r="M28" s="2" t="s">
        <v>435</v>
      </c>
      <c r="N28" s="2" t="s">
        <v>436</v>
      </c>
    </row>
    <row r="29" spans="1:14">
      <c r="A29" s="2" t="s">
        <v>370</v>
      </c>
      <c r="B29" s="2" t="s">
        <v>437</v>
      </c>
      <c r="C29" s="2" t="s">
        <v>96</v>
      </c>
      <c r="D29" s="2">
        <v>21</v>
      </c>
      <c r="E29" s="2" t="s">
        <v>380</v>
      </c>
      <c r="F29" s="2" t="s">
        <v>370</v>
      </c>
      <c r="G29" s="2">
        <v>7.2</v>
      </c>
      <c r="H29" s="2">
        <v>8.1</v>
      </c>
      <c r="I29" s="2" t="s">
        <v>140</v>
      </c>
      <c r="J29" s="2">
        <v>5</v>
      </c>
      <c r="K29" s="2">
        <v>8</v>
      </c>
      <c r="L29" s="2">
        <v>5</v>
      </c>
      <c r="M29" s="2" t="s">
        <v>438</v>
      </c>
      <c r="N29" s="2" t="s">
        <v>439</v>
      </c>
    </row>
    <row r="30" spans="1:14">
      <c r="A30" s="2" t="s">
        <v>370</v>
      </c>
      <c r="B30" s="2" t="s">
        <v>440</v>
      </c>
      <c r="C30" s="2" t="s">
        <v>224</v>
      </c>
      <c r="D30" s="2">
        <v>22</v>
      </c>
      <c r="E30" s="2" t="s">
        <v>380</v>
      </c>
      <c r="F30" s="2" t="s">
        <v>370</v>
      </c>
      <c r="G30" s="2">
        <v>7</v>
      </c>
      <c r="H30" s="2">
        <v>7.9</v>
      </c>
      <c r="I30" s="2" t="s">
        <v>140</v>
      </c>
      <c r="J30" s="2">
        <v>3</v>
      </c>
      <c r="K30" s="2">
        <v>7</v>
      </c>
      <c r="L30" s="2">
        <v>4</v>
      </c>
      <c r="M30" s="2" t="s">
        <v>441</v>
      </c>
      <c r="N30" s="2" t="s">
        <v>442</v>
      </c>
    </row>
    <row r="31" spans="1:14">
      <c r="A31" s="2" t="s">
        <v>370</v>
      </c>
      <c r="B31" s="2" t="s">
        <v>443</v>
      </c>
      <c r="C31" s="2" t="s">
        <v>137</v>
      </c>
      <c r="D31" s="2">
        <v>21</v>
      </c>
      <c r="E31" s="2" t="s">
        <v>380</v>
      </c>
      <c r="F31" s="2" t="s">
        <v>370</v>
      </c>
      <c r="G31" s="2">
        <v>7.4</v>
      </c>
      <c r="H31" s="2">
        <v>8.6</v>
      </c>
      <c r="I31" s="2" t="s">
        <v>140</v>
      </c>
      <c r="J31" s="2">
        <v>5</v>
      </c>
      <c r="K31" s="2">
        <v>8</v>
      </c>
      <c r="L31" s="2">
        <v>6</v>
      </c>
      <c r="M31" s="2" t="s">
        <v>444</v>
      </c>
      <c r="N31" s="2" t="s">
        <v>445</v>
      </c>
    </row>
    <row r="32" spans="1:14">
      <c r="A32" s="2" t="s">
        <v>370</v>
      </c>
      <c r="B32" s="2" t="s">
        <v>446</v>
      </c>
      <c r="C32" s="2" t="s">
        <v>447</v>
      </c>
      <c r="D32" s="2">
        <v>21</v>
      </c>
      <c r="E32" s="2" t="s">
        <v>380</v>
      </c>
      <c r="F32" s="2" t="s">
        <v>448</v>
      </c>
      <c r="G32" s="2">
        <v>7.1</v>
      </c>
      <c r="H32" s="2">
        <v>8</v>
      </c>
      <c r="I32" s="2" t="s">
        <v>331</v>
      </c>
      <c r="J32" s="2">
        <v>7</v>
      </c>
      <c r="K32" s="2">
        <v>8</v>
      </c>
      <c r="L32" s="2">
        <v>5</v>
      </c>
      <c r="M32" s="2" t="s">
        <v>449</v>
      </c>
      <c r="N32" s="2" t="s">
        <v>450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"/>
  <sheetViews>
    <sheetView workbookViewId="0">
      <selection sqref="A1:R1"/>
    </sheetView>
  </sheetViews>
  <sheetFormatPr defaultRowHeight="14.25"/>
  <cols>
    <col min="1" max="1" width="18" customWidth="1"/>
    <col min="2" max="2" width="20" customWidth="1"/>
    <col min="3" max="3" width="14" customWidth="1"/>
    <col min="4" max="4" width="7" customWidth="1"/>
    <col min="5" max="5" width="18" customWidth="1"/>
    <col min="6" max="7" width="10" customWidth="1"/>
    <col min="8" max="8" width="12" customWidth="1"/>
    <col min="9" max="9" width="10" customWidth="1"/>
    <col min="10" max="11" width="14" customWidth="1"/>
    <col min="12" max="12" width="12" customWidth="1"/>
    <col min="13" max="13" width="14" customWidth="1"/>
    <col min="14" max="14" width="16" customWidth="1"/>
    <col min="15" max="15" width="14" customWidth="1"/>
    <col min="16" max="16" width="10" customWidth="1"/>
    <col min="17" max="17" width="30" customWidth="1"/>
    <col min="18" max="18" width="54" customWidth="1"/>
  </cols>
  <sheetData>
    <row r="1" spans="1:18">
      <c r="A1" s="3" t="s">
        <v>451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0">
      <c r="A2" s="1" t="s">
        <v>452</v>
      </c>
      <c r="B2" s="1" t="s">
        <v>453</v>
      </c>
      <c r="C2" s="1" t="s">
        <v>196</v>
      </c>
      <c r="D2" s="1" t="s">
        <v>197</v>
      </c>
      <c r="E2" s="1" t="s">
        <v>454</v>
      </c>
      <c r="F2" s="1" t="s">
        <v>455</v>
      </c>
      <c r="G2" s="1" t="s">
        <v>456</v>
      </c>
      <c r="H2" s="1" t="s">
        <v>457</v>
      </c>
      <c r="I2" s="1" t="s">
        <v>458</v>
      </c>
      <c r="J2" s="1" t="s">
        <v>459</v>
      </c>
      <c r="K2" s="1" t="s">
        <v>204</v>
      </c>
      <c r="L2" s="1" t="s">
        <v>460</v>
      </c>
      <c r="M2" s="1" t="s">
        <v>461</v>
      </c>
      <c r="N2" s="1" t="s">
        <v>462</v>
      </c>
      <c r="O2" s="1" t="s">
        <v>463</v>
      </c>
      <c r="P2" s="1" t="s">
        <v>464</v>
      </c>
      <c r="Q2" s="1" t="s">
        <v>314</v>
      </c>
      <c r="R2" s="1" t="s">
        <v>206</v>
      </c>
    </row>
    <row r="3" spans="1:18">
      <c r="A3" s="2" t="s">
        <v>465</v>
      </c>
      <c r="B3" s="2" t="s">
        <v>466</v>
      </c>
      <c r="C3" s="2" t="s">
        <v>96</v>
      </c>
      <c r="D3" s="2">
        <v>17</v>
      </c>
      <c r="E3" s="2" t="s">
        <v>467</v>
      </c>
      <c r="F3" s="2">
        <v>7.2</v>
      </c>
      <c r="G3" s="2">
        <v>6.6</v>
      </c>
      <c r="H3" s="2">
        <v>7</v>
      </c>
      <c r="I3" s="2">
        <v>6.8</v>
      </c>
      <c r="J3" s="2">
        <v>8.5</v>
      </c>
      <c r="K3" s="2">
        <v>9.1</v>
      </c>
      <c r="L3" s="2" t="s">
        <v>54</v>
      </c>
      <c r="M3" s="2">
        <v>0.8</v>
      </c>
      <c r="N3" s="2">
        <v>0.6</v>
      </c>
      <c r="O3" s="2">
        <v>3</v>
      </c>
      <c r="P3" s="2" t="s">
        <v>54</v>
      </c>
      <c r="Q3" s="2" t="s">
        <v>468</v>
      </c>
      <c r="R3" s="2" t="s">
        <v>469</v>
      </c>
    </row>
    <row r="4" spans="1:18">
      <c r="A4" s="2" t="s">
        <v>465</v>
      </c>
      <c r="B4" s="2" t="s">
        <v>470</v>
      </c>
      <c r="C4" s="2" t="s">
        <v>137</v>
      </c>
      <c r="D4" s="2">
        <v>16</v>
      </c>
      <c r="E4" s="2" t="s">
        <v>471</v>
      </c>
      <c r="F4" s="2">
        <v>7.4</v>
      </c>
      <c r="G4" s="2">
        <v>6.2</v>
      </c>
      <c r="H4" s="2">
        <v>7.2</v>
      </c>
      <c r="I4" s="2">
        <v>6.3</v>
      </c>
      <c r="J4" s="2">
        <v>8.8000000000000007</v>
      </c>
      <c r="K4" s="2">
        <v>9.1999999999999993</v>
      </c>
      <c r="L4" s="2" t="s">
        <v>54</v>
      </c>
      <c r="M4" s="2">
        <v>0.7</v>
      </c>
      <c r="N4" s="2">
        <v>0.7</v>
      </c>
      <c r="O4" s="2">
        <v>4</v>
      </c>
      <c r="P4" s="2" t="s">
        <v>127</v>
      </c>
      <c r="Q4" s="2" t="s">
        <v>472</v>
      </c>
      <c r="R4" s="2" t="s">
        <v>473</v>
      </c>
    </row>
    <row r="5" spans="1:18">
      <c r="A5" s="2" t="s">
        <v>465</v>
      </c>
      <c r="B5" s="2" t="s">
        <v>474</v>
      </c>
      <c r="C5" s="2" t="s">
        <v>109</v>
      </c>
      <c r="D5" s="2">
        <v>17</v>
      </c>
      <c r="E5" s="2" t="s">
        <v>475</v>
      </c>
      <c r="F5" s="2">
        <v>7.1</v>
      </c>
      <c r="G5" s="2">
        <v>6.8</v>
      </c>
      <c r="H5" s="2">
        <v>7</v>
      </c>
      <c r="I5" s="2">
        <v>7.1</v>
      </c>
      <c r="J5" s="2">
        <v>8.1</v>
      </c>
      <c r="K5" s="2">
        <v>8.8000000000000007</v>
      </c>
      <c r="L5" s="2" t="s">
        <v>331</v>
      </c>
      <c r="M5" s="2">
        <v>0.6</v>
      </c>
      <c r="N5" s="2">
        <v>0.5</v>
      </c>
      <c r="O5" s="2">
        <v>3</v>
      </c>
      <c r="P5" s="2" t="s">
        <v>54</v>
      </c>
      <c r="Q5" s="2" t="s">
        <v>476</v>
      </c>
      <c r="R5" s="2" t="s">
        <v>477</v>
      </c>
    </row>
    <row r="6" spans="1:18">
      <c r="A6" s="2" t="s">
        <v>465</v>
      </c>
      <c r="B6" s="2" t="s">
        <v>478</v>
      </c>
      <c r="C6" s="2" t="s">
        <v>253</v>
      </c>
      <c r="D6" s="2">
        <v>15</v>
      </c>
      <c r="E6" s="2" t="s">
        <v>479</v>
      </c>
      <c r="F6" s="2">
        <v>7.3</v>
      </c>
      <c r="G6" s="2">
        <v>6.1</v>
      </c>
      <c r="H6" s="2">
        <v>7.1</v>
      </c>
      <c r="I6" s="2">
        <v>6.4</v>
      </c>
      <c r="J6" s="2">
        <v>9</v>
      </c>
      <c r="K6" s="2">
        <v>9.3000000000000007</v>
      </c>
      <c r="L6" s="2" t="s">
        <v>54</v>
      </c>
      <c r="M6" s="2">
        <v>0.7</v>
      </c>
      <c r="N6" s="2">
        <v>0.7</v>
      </c>
      <c r="O6" s="2">
        <v>5</v>
      </c>
      <c r="P6" s="2" t="s">
        <v>127</v>
      </c>
      <c r="Q6" s="2" t="s">
        <v>480</v>
      </c>
      <c r="R6" s="2" t="s">
        <v>481</v>
      </c>
    </row>
    <row r="7" spans="1:18">
      <c r="A7" s="2" t="s">
        <v>465</v>
      </c>
      <c r="B7" s="2" t="s">
        <v>482</v>
      </c>
      <c r="C7" s="2" t="s">
        <v>172</v>
      </c>
      <c r="D7" s="2">
        <v>16</v>
      </c>
      <c r="E7" s="2" t="s">
        <v>471</v>
      </c>
      <c r="F7" s="2">
        <v>7.5</v>
      </c>
      <c r="G7" s="2">
        <v>6.4</v>
      </c>
      <c r="H7" s="2">
        <v>7.3</v>
      </c>
      <c r="I7" s="2">
        <v>6.5</v>
      </c>
      <c r="J7" s="2">
        <v>8.6999999999999993</v>
      </c>
      <c r="K7" s="2">
        <v>9.1999999999999993</v>
      </c>
      <c r="L7" s="2" t="s">
        <v>54</v>
      </c>
      <c r="M7" s="2">
        <v>0.8</v>
      </c>
      <c r="N7" s="2">
        <v>0.6</v>
      </c>
      <c r="O7" s="2">
        <v>4</v>
      </c>
      <c r="P7" s="2" t="s">
        <v>127</v>
      </c>
      <c r="Q7" s="2" t="s">
        <v>483</v>
      </c>
      <c r="R7" s="2" t="s">
        <v>484</v>
      </c>
    </row>
    <row r="8" spans="1:18">
      <c r="A8" s="2" t="s">
        <v>465</v>
      </c>
      <c r="B8" s="2" t="s">
        <v>485</v>
      </c>
      <c r="C8" s="2" t="s">
        <v>393</v>
      </c>
      <c r="D8" s="2">
        <v>17</v>
      </c>
      <c r="E8" s="2" t="s">
        <v>475</v>
      </c>
      <c r="F8" s="2">
        <v>6.9</v>
      </c>
      <c r="G8" s="2">
        <v>6.8</v>
      </c>
      <c r="H8" s="2">
        <v>7.2</v>
      </c>
      <c r="I8" s="2">
        <v>7</v>
      </c>
      <c r="J8" s="2">
        <v>8</v>
      </c>
      <c r="K8" s="2">
        <v>8.6</v>
      </c>
      <c r="L8" s="2" t="s">
        <v>140</v>
      </c>
      <c r="M8" s="2">
        <v>0.4</v>
      </c>
      <c r="N8" s="2">
        <v>0.4</v>
      </c>
      <c r="O8" s="2">
        <v>3</v>
      </c>
      <c r="P8" s="2" t="s">
        <v>140</v>
      </c>
      <c r="Q8" s="2" t="s">
        <v>486</v>
      </c>
      <c r="R8" s="2" t="s">
        <v>487</v>
      </c>
    </row>
    <row r="9" spans="1:18">
      <c r="A9" s="2" t="s">
        <v>465</v>
      </c>
      <c r="B9" s="2" t="s">
        <v>488</v>
      </c>
      <c r="C9" s="2" t="s">
        <v>137</v>
      </c>
      <c r="D9" s="2">
        <v>17</v>
      </c>
      <c r="E9" s="2" t="s">
        <v>489</v>
      </c>
      <c r="F9" s="2">
        <v>7</v>
      </c>
      <c r="G9" s="2">
        <v>6.7</v>
      </c>
      <c r="H9" s="2">
        <v>7.1</v>
      </c>
      <c r="I9" s="2">
        <v>7</v>
      </c>
      <c r="J9" s="2">
        <v>8.3000000000000007</v>
      </c>
      <c r="K9" s="2">
        <v>8.8000000000000007</v>
      </c>
      <c r="L9" s="2" t="s">
        <v>54</v>
      </c>
      <c r="M9" s="2">
        <v>0.7</v>
      </c>
      <c r="N9" s="2">
        <v>0.6</v>
      </c>
      <c r="O9" s="2">
        <v>3</v>
      </c>
      <c r="P9" s="2" t="s">
        <v>54</v>
      </c>
      <c r="Q9" s="2" t="s">
        <v>490</v>
      </c>
      <c r="R9" s="2" t="s">
        <v>491</v>
      </c>
    </row>
    <row r="10" spans="1:18">
      <c r="A10" s="2" t="s">
        <v>465</v>
      </c>
      <c r="B10" s="2" t="s">
        <v>492</v>
      </c>
      <c r="C10" s="2" t="s">
        <v>69</v>
      </c>
      <c r="D10" s="2">
        <v>16</v>
      </c>
      <c r="E10" s="2" t="s">
        <v>471</v>
      </c>
      <c r="F10" s="2">
        <v>7.1</v>
      </c>
      <c r="G10" s="2">
        <v>6.4</v>
      </c>
      <c r="H10" s="2">
        <v>7.4</v>
      </c>
      <c r="I10" s="2">
        <v>6.8</v>
      </c>
      <c r="J10" s="2">
        <v>8.5</v>
      </c>
      <c r="K10" s="2">
        <v>9</v>
      </c>
      <c r="L10" s="2" t="s">
        <v>54</v>
      </c>
      <c r="M10" s="2">
        <v>0.6</v>
      </c>
      <c r="N10" s="2">
        <v>0.6</v>
      </c>
      <c r="O10" s="2">
        <v>4</v>
      </c>
      <c r="P10" s="2" t="s">
        <v>54</v>
      </c>
      <c r="Q10" s="2" t="s">
        <v>493</v>
      </c>
      <c r="R10" s="2" t="s">
        <v>494</v>
      </c>
    </row>
    <row r="11" spans="1:18">
      <c r="A11" s="2" t="s">
        <v>465</v>
      </c>
      <c r="B11" s="2" t="s">
        <v>495</v>
      </c>
      <c r="C11" s="2" t="s">
        <v>329</v>
      </c>
      <c r="D11" s="2">
        <v>15</v>
      </c>
      <c r="E11" s="2" t="s">
        <v>479</v>
      </c>
      <c r="F11" s="2">
        <v>6.9</v>
      </c>
      <c r="G11" s="2">
        <v>6.2</v>
      </c>
      <c r="H11" s="2">
        <v>7</v>
      </c>
      <c r="I11" s="2">
        <v>6.8</v>
      </c>
      <c r="J11" s="2">
        <v>8.4</v>
      </c>
      <c r="K11" s="2">
        <v>8.6999999999999993</v>
      </c>
      <c r="L11" s="2" t="s">
        <v>140</v>
      </c>
      <c r="M11" s="2">
        <v>0.3</v>
      </c>
      <c r="N11" s="2">
        <v>0.3</v>
      </c>
      <c r="O11" s="2">
        <v>5</v>
      </c>
      <c r="P11" s="2" t="s">
        <v>140</v>
      </c>
      <c r="Q11" s="2" t="s">
        <v>496</v>
      </c>
      <c r="R11" s="2" t="s">
        <v>497</v>
      </c>
    </row>
    <row r="12" spans="1:18">
      <c r="A12" s="2" t="s">
        <v>465</v>
      </c>
      <c r="B12" s="2" t="s">
        <v>498</v>
      </c>
      <c r="C12" s="2" t="s">
        <v>76</v>
      </c>
      <c r="D12" s="2">
        <v>17</v>
      </c>
      <c r="E12" s="2" t="s">
        <v>499</v>
      </c>
      <c r="F12" s="2">
        <v>7.2</v>
      </c>
      <c r="G12" s="2">
        <v>6.6</v>
      </c>
      <c r="H12" s="2">
        <v>6.9</v>
      </c>
      <c r="I12" s="2">
        <v>6.7</v>
      </c>
      <c r="J12" s="2">
        <v>8.1999999999999993</v>
      </c>
      <c r="K12" s="2">
        <v>8.9</v>
      </c>
      <c r="L12" s="2" t="s">
        <v>54</v>
      </c>
      <c r="M12" s="2">
        <v>0.8</v>
      </c>
      <c r="N12" s="2">
        <v>0.6</v>
      </c>
      <c r="O12" s="2">
        <v>3</v>
      </c>
      <c r="P12" s="2" t="s">
        <v>54</v>
      </c>
      <c r="Q12" s="2" t="s">
        <v>500</v>
      </c>
      <c r="R12" s="2" t="s">
        <v>501</v>
      </c>
    </row>
    <row r="13" spans="1:18">
      <c r="A13" s="2" t="s">
        <v>465</v>
      </c>
      <c r="B13" s="2" t="s">
        <v>502</v>
      </c>
      <c r="C13" s="2" t="s">
        <v>503</v>
      </c>
      <c r="D13" s="2">
        <v>16</v>
      </c>
      <c r="E13" s="2" t="s">
        <v>471</v>
      </c>
      <c r="F13" s="2">
        <v>7</v>
      </c>
      <c r="G13" s="2">
        <v>6.3</v>
      </c>
      <c r="H13" s="2">
        <v>7.5</v>
      </c>
      <c r="I13" s="2">
        <v>6.6</v>
      </c>
      <c r="J13" s="2">
        <v>8.4</v>
      </c>
      <c r="K13" s="2">
        <v>8.8000000000000007</v>
      </c>
      <c r="L13" s="2" t="s">
        <v>331</v>
      </c>
      <c r="M13" s="2">
        <v>0.5</v>
      </c>
      <c r="N13" s="2">
        <v>0.5</v>
      </c>
      <c r="O13" s="2">
        <v>4</v>
      </c>
      <c r="P13" s="2" t="s">
        <v>54</v>
      </c>
      <c r="Q13" s="2" t="s">
        <v>504</v>
      </c>
      <c r="R13" s="2" t="s">
        <v>505</v>
      </c>
    </row>
    <row r="14" spans="1:18">
      <c r="A14" s="2" t="s">
        <v>465</v>
      </c>
      <c r="B14" s="2" t="s">
        <v>506</v>
      </c>
      <c r="C14" s="2" t="s">
        <v>507</v>
      </c>
      <c r="D14" s="2">
        <v>15</v>
      </c>
      <c r="E14" s="2" t="s">
        <v>479</v>
      </c>
      <c r="F14" s="2">
        <v>6.8</v>
      </c>
      <c r="G14" s="2">
        <v>6.1</v>
      </c>
      <c r="H14" s="2">
        <v>7.3</v>
      </c>
      <c r="I14" s="2">
        <v>7</v>
      </c>
      <c r="J14" s="2">
        <v>8.6</v>
      </c>
      <c r="K14" s="2">
        <v>8.9</v>
      </c>
      <c r="L14" s="2" t="s">
        <v>54</v>
      </c>
      <c r="M14" s="2">
        <v>0.5</v>
      </c>
      <c r="N14" s="2">
        <v>0.5</v>
      </c>
      <c r="O14" s="2">
        <v>5</v>
      </c>
      <c r="P14" s="2" t="s">
        <v>54</v>
      </c>
      <c r="Q14" s="2" t="s">
        <v>508</v>
      </c>
      <c r="R14" s="2" t="s">
        <v>509</v>
      </c>
    </row>
    <row r="15" spans="1:18">
      <c r="A15" s="2" t="s">
        <v>465</v>
      </c>
      <c r="B15" s="2" t="s">
        <v>510</v>
      </c>
      <c r="C15" s="2" t="s">
        <v>224</v>
      </c>
      <c r="D15" s="2">
        <v>17</v>
      </c>
      <c r="E15" s="2" t="s">
        <v>475</v>
      </c>
      <c r="F15" s="2">
        <v>7.1</v>
      </c>
      <c r="G15" s="2">
        <v>6.9</v>
      </c>
      <c r="H15" s="2">
        <v>7</v>
      </c>
      <c r="I15" s="2">
        <v>6.9</v>
      </c>
      <c r="J15" s="2">
        <v>8.1</v>
      </c>
      <c r="K15" s="2">
        <v>8.6999999999999993</v>
      </c>
      <c r="L15" s="2" t="s">
        <v>331</v>
      </c>
      <c r="M15" s="2">
        <v>0.5</v>
      </c>
      <c r="N15" s="2">
        <v>0.5</v>
      </c>
      <c r="O15" s="2">
        <v>3</v>
      </c>
      <c r="P15" s="2" t="s">
        <v>140</v>
      </c>
      <c r="Q15" s="2" t="s">
        <v>511</v>
      </c>
      <c r="R15" s="2" t="s">
        <v>512</v>
      </c>
    </row>
    <row r="16" spans="1:18">
      <c r="A16" s="2" t="s">
        <v>465</v>
      </c>
      <c r="B16" s="2" t="s">
        <v>513</v>
      </c>
      <c r="C16" s="2" t="s">
        <v>514</v>
      </c>
      <c r="D16" s="2">
        <v>16</v>
      </c>
      <c r="E16" s="2" t="s">
        <v>471</v>
      </c>
      <c r="F16" s="2">
        <v>7</v>
      </c>
      <c r="G16" s="2">
        <v>6.2</v>
      </c>
      <c r="H16" s="2">
        <v>7.2</v>
      </c>
      <c r="I16" s="2">
        <v>6.5</v>
      </c>
      <c r="J16" s="2">
        <v>8.6999999999999993</v>
      </c>
      <c r="K16" s="2">
        <v>9</v>
      </c>
      <c r="L16" s="2" t="s">
        <v>54</v>
      </c>
      <c r="M16" s="2">
        <v>0.7</v>
      </c>
      <c r="N16" s="2">
        <v>0.6</v>
      </c>
      <c r="O16" s="2">
        <v>4</v>
      </c>
      <c r="P16" s="2" t="s">
        <v>127</v>
      </c>
      <c r="Q16" s="2" t="s">
        <v>515</v>
      </c>
      <c r="R16" s="2" t="s">
        <v>516</v>
      </c>
    </row>
    <row r="17" spans="1:18">
      <c r="A17" s="2" t="s">
        <v>465</v>
      </c>
      <c r="B17" s="2" t="s">
        <v>517</v>
      </c>
      <c r="C17" s="2" t="s">
        <v>264</v>
      </c>
      <c r="D17" s="2">
        <v>17</v>
      </c>
      <c r="E17" s="2" t="s">
        <v>475</v>
      </c>
      <c r="F17" s="2">
        <v>7.2</v>
      </c>
      <c r="G17" s="2">
        <v>6.8</v>
      </c>
      <c r="H17" s="2">
        <v>6.8</v>
      </c>
      <c r="I17" s="2">
        <v>7.2</v>
      </c>
      <c r="J17" s="2">
        <v>8</v>
      </c>
      <c r="K17" s="2">
        <v>8.6999999999999993</v>
      </c>
      <c r="L17" s="2" t="s">
        <v>140</v>
      </c>
      <c r="M17" s="2">
        <v>0.5</v>
      </c>
      <c r="N17" s="2">
        <v>0.4</v>
      </c>
      <c r="O17" s="2">
        <v>3</v>
      </c>
      <c r="P17" s="2" t="s">
        <v>140</v>
      </c>
      <c r="Q17" s="2" t="s">
        <v>518</v>
      </c>
      <c r="R17" s="2" t="s">
        <v>519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defaultRowHeight="14.25"/>
  <cols>
    <col min="1" max="1" width="18" customWidth="1"/>
    <col min="2" max="2" width="42" customWidth="1"/>
    <col min="3" max="3" width="54" customWidth="1"/>
    <col min="4" max="4" width="52" customWidth="1"/>
    <col min="5" max="5" width="70" customWidth="1"/>
  </cols>
  <sheetData>
    <row r="1" spans="1:5">
      <c r="A1" s="3" t="s">
        <v>520</v>
      </c>
      <c r="B1" s="4"/>
      <c r="C1" s="4"/>
      <c r="D1" s="4"/>
      <c r="E1" s="4"/>
    </row>
    <row r="2" spans="1:5" ht="15">
      <c r="A2" s="1" t="s">
        <v>521</v>
      </c>
      <c r="B2" s="1" t="s">
        <v>522</v>
      </c>
      <c r="C2" s="1" t="s">
        <v>523</v>
      </c>
      <c r="D2" s="1" t="s">
        <v>524</v>
      </c>
      <c r="E2" s="1" t="s">
        <v>525</v>
      </c>
    </row>
    <row r="3" spans="1:5" ht="28.5">
      <c r="A3" s="2" t="s">
        <v>526</v>
      </c>
      <c r="B3" s="2" t="s">
        <v>527</v>
      </c>
      <c r="C3" s="2" t="s">
        <v>528</v>
      </c>
      <c r="D3" s="2" t="s">
        <v>529</v>
      </c>
      <c r="E3" s="2" t="s">
        <v>530</v>
      </c>
    </row>
    <row r="4" spans="1:5" ht="28.5">
      <c r="A4" s="2" t="s">
        <v>526</v>
      </c>
      <c r="B4" s="2" t="s">
        <v>531</v>
      </c>
      <c r="C4" s="2" t="s">
        <v>532</v>
      </c>
      <c r="D4" s="2" t="s">
        <v>533</v>
      </c>
      <c r="E4" s="2" t="s">
        <v>534</v>
      </c>
    </row>
    <row r="5" spans="1:5" ht="42.75">
      <c r="A5" s="2" t="s">
        <v>526</v>
      </c>
      <c r="B5" s="2" t="s">
        <v>535</v>
      </c>
      <c r="C5" s="2" t="s">
        <v>536</v>
      </c>
      <c r="D5" s="2" t="s">
        <v>537</v>
      </c>
      <c r="E5" s="2" t="s">
        <v>530</v>
      </c>
    </row>
    <row r="6" spans="1:5" ht="28.5">
      <c r="A6" s="2" t="s">
        <v>538</v>
      </c>
      <c r="B6" s="2" t="s">
        <v>539</v>
      </c>
      <c r="C6" s="2" t="s">
        <v>540</v>
      </c>
      <c r="D6" s="2" t="s">
        <v>541</v>
      </c>
      <c r="E6" s="2" t="s">
        <v>542</v>
      </c>
    </row>
    <row r="7" spans="1:5" ht="28.5">
      <c r="A7" s="2" t="s">
        <v>538</v>
      </c>
      <c r="B7" s="2" t="s">
        <v>543</v>
      </c>
      <c r="C7" s="2" t="s">
        <v>544</v>
      </c>
      <c r="D7" s="2" t="s">
        <v>545</v>
      </c>
      <c r="E7" s="2" t="s">
        <v>542</v>
      </c>
    </row>
    <row r="8" spans="1:5" ht="42.75">
      <c r="A8" s="2" t="s">
        <v>546</v>
      </c>
      <c r="B8" s="2" t="s">
        <v>547</v>
      </c>
      <c r="C8" s="2" t="s">
        <v>548</v>
      </c>
      <c r="D8" s="2" t="s">
        <v>549</v>
      </c>
      <c r="E8" s="2" t="s">
        <v>542</v>
      </c>
    </row>
    <row r="9" spans="1:5" ht="28.5">
      <c r="A9" s="2" t="s">
        <v>546</v>
      </c>
      <c r="B9" s="2" t="s">
        <v>550</v>
      </c>
      <c r="C9" s="2" t="s">
        <v>551</v>
      </c>
      <c r="D9" s="2" t="s">
        <v>552</v>
      </c>
      <c r="E9" s="2" t="s">
        <v>542</v>
      </c>
    </row>
    <row r="10" spans="1:5" ht="28.5">
      <c r="A10" s="2" t="s">
        <v>553</v>
      </c>
      <c r="B10" s="2" t="s">
        <v>554</v>
      </c>
      <c r="C10" s="2" t="s">
        <v>555</v>
      </c>
      <c r="D10" s="2" t="s">
        <v>556</v>
      </c>
      <c r="E10" s="2" t="s">
        <v>542</v>
      </c>
    </row>
    <row r="11" spans="1:5" ht="28.5">
      <c r="A11" s="2" t="s">
        <v>557</v>
      </c>
      <c r="B11" s="2" t="s">
        <v>558</v>
      </c>
      <c r="C11" s="2" t="s">
        <v>559</v>
      </c>
      <c r="D11" s="2" t="s">
        <v>560</v>
      </c>
      <c r="E11" s="2" t="s">
        <v>542</v>
      </c>
    </row>
    <row r="12" spans="1:5" ht="28.5">
      <c r="A12" s="2" t="s">
        <v>561</v>
      </c>
      <c r="B12" s="2" t="s">
        <v>562</v>
      </c>
      <c r="C12" s="2" t="s">
        <v>563</v>
      </c>
      <c r="D12" s="2" t="s">
        <v>564</v>
      </c>
      <c r="E12" s="2" t="s">
        <v>542</v>
      </c>
    </row>
    <row r="13" spans="1:5" ht="42.75">
      <c r="A13" s="2" t="s">
        <v>565</v>
      </c>
      <c r="B13" s="2" t="s">
        <v>566</v>
      </c>
      <c r="C13" s="2" t="s">
        <v>567</v>
      </c>
      <c r="D13" s="2" t="s">
        <v>568</v>
      </c>
      <c r="E13" s="2" t="s">
        <v>542</v>
      </c>
    </row>
    <row r="14" spans="1:5" ht="28.5">
      <c r="A14" s="2" t="s">
        <v>569</v>
      </c>
      <c r="B14" s="2" t="s">
        <v>570</v>
      </c>
      <c r="C14" s="2" t="s">
        <v>571</v>
      </c>
      <c r="D14" s="2" t="s">
        <v>572</v>
      </c>
      <c r="E14" s="2" t="s">
        <v>573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25"/>
  <cols>
    <col min="1" max="1" width="24" customWidth="1"/>
    <col min="2" max="2" width="50" customWidth="1"/>
    <col min="3" max="4" width="60" customWidth="1"/>
  </cols>
  <sheetData>
    <row r="1" spans="1:4">
      <c r="A1" s="3" t="s">
        <v>574</v>
      </c>
      <c r="B1" s="4"/>
      <c r="C1" s="4"/>
      <c r="D1" s="4"/>
    </row>
    <row r="2" spans="1:4" ht="15">
      <c r="A2" s="1" t="s">
        <v>575</v>
      </c>
      <c r="B2" s="1" t="s">
        <v>576</v>
      </c>
      <c r="C2" s="1" t="s">
        <v>577</v>
      </c>
      <c r="D2" s="1" t="s">
        <v>578</v>
      </c>
    </row>
    <row r="3" spans="1:4">
      <c r="A3" s="2" t="s">
        <v>579</v>
      </c>
      <c r="B3" s="2" t="s">
        <v>580</v>
      </c>
      <c r="C3" s="2" t="s">
        <v>581</v>
      </c>
      <c r="D3" s="2" t="s">
        <v>582</v>
      </c>
    </row>
    <row r="4" spans="1:4" ht="28.5">
      <c r="A4" s="2" t="s">
        <v>583</v>
      </c>
      <c r="B4" s="2" t="s">
        <v>584</v>
      </c>
      <c r="C4" s="2" t="s">
        <v>585</v>
      </c>
      <c r="D4" s="2" t="s">
        <v>586</v>
      </c>
    </row>
    <row r="5" spans="1:4">
      <c r="A5" s="2" t="s">
        <v>587</v>
      </c>
      <c r="B5" s="2" t="s">
        <v>588</v>
      </c>
      <c r="C5" s="2" t="s">
        <v>589</v>
      </c>
      <c r="D5" s="2" t="s">
        <v>590</v>
      </c>
    </row>
    <row r="6" spans="1:4" ht="28.5">
      <c r="A6" s="2" t="s">
        <v>546</v>
      </c>
      <c r="B6" s="2" t="s">
        <v>591</v>
      </c>
      <c r="C6" s="2" t="s">
        <v>592</v>
      </c>
      <c r="D6" s="2" t="s">
        <v>593</v>
      </c>
    </row>
    <row r="7" spans="1:4">
      <c r="A7" s="2" t="s">
        <v>538</v>
      </c>
      <c r="B7" s="2" t="s">
        <v>594</v>
      </c>
      <c r="C7" s="2" t="s">
        <v>595</v>
      </c>
      <c r="D7" s="2" t="s">
        <v>596</v>
      </c>
    </row>
    <row r="8" spans="1:4">
      <c r="A8" s="2" t="s">
        <v>597</v>
      </c>
      <c r="B8" s="2" t="s">
        <v>598</v>
      </c>
      <c r="C8" s="2" t="s">
        <v>599</v>
      </c>
      <c r="D8" s="2" t="s">
        <v>600</v>
      </c>
    </row>
    <row r="9" spans="1:4">
      <c r="A9" s="2" t="s">
        <v>601</v>
      </c>
      <c r="B9" s="2" t="s">
        <v>602</v>
      </c>
      <c r="C9" s="2" t="s">
        <v>603</v>
      </c>
      <c r="D9" s="2" t="s">
        <v>604</v>
      </c>
    </row>
    <row r="10" spans="1:4" ht="28.5">
      <c r="A10" s="2" t="s">
        <v>605</v>
      </c>
      <c r="B10" s="2" t="s">
        <v>606</v>
      </c>
      <c r="C10" s="2" t="s">
        <v>607</v>
      </c>
      <c r="D10" s="2" t="s">
        <v>608</v>
      </c>
    </row>
    <row r="11" spans="1:4" ht="28.5">
      <c r="A11" s="2" t="s">
        <v>609</v>
      </c>
      <c r="B11" s="2" t="s">
        <v>610</v>
      </c>
      <c r="C11" s="2" t="s">
        <v>611</v>
      </c>
      <c r="D11" s="2" t="s">
        <v>612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4.25"/>
  <cols>
    <col min="1" max="3" width="14" customWidth="1"/>
    <col min="4" max="4" width="70" customWidth="1"/>
  </cols>
  <sheetData>
    <row r="1" spans="1:4">
      <c r="A1" s="3" t="s">
        <v>613</v>
      </c>
      <c r="B1" s="4"/>
      <c r="C1" s="4"/>
      <c r="D1" s="4"/>
    </row>
    <row r="2" spans="1:4" ht="15">
      <c r="A2" s="1" t="s">
        <v>614</v>
      </c>
      <c r="B2" s="1" t="s">
        <v>615</v>
      </c>
      <c r="C2" s="1" t="s">
        <v>616</v>
      </c>
      <c r="D2" s="1" t="s">
        <v>206</v>
      </c>
    </row>
    <row r="3" spans="1:4">
      <c r="A3" s="2">
        <v>1</v>
      </c>
      <c r="B3" s="2">
        <v>25</v>
      </c>
      <c r="C3" s="2">
        <v>8</v>
      </c>
      <c r="D3" s="2" t="s">
        <v>617</v>
      </c>
    </row>
    <row r="4" spans="1:4">
      <c r="A4" s="2">
        <v>2</v>
      </c>
      <c r="B4" s="2">
        <v>18</v>
      </c>
      <c r="C4" s="2">
        <v>7</v>
      </c>
      <c r="D4" s="2"/>
    </row>
    <row r="5" spans="1:4">
      <c r="A5" s="2">
        <v>3</v>
      </c>
      <c r="B5" s="2">
        <v>15</v>
      </c>
      <c r="C5" s="2">
        <v>6</v>
      </c>
      <c r="D5" s="2"/>
    </row>
    <row r="6" spans="1:4">
      <c r="A6" s="2">
        <v>4</v>
      </c>
      <c r="B6" s="2">
        <v>12</v>
      </c>
      <c r="C6" s="2">
        <v>5</v>
      </c>
      <c r="D6" s="2"/>
    </row>
    <row r="7" spans="1:4">
      <c r="A7" s="2">
        <v>5</v>
      </c>
      <c r="B7" s="2">
        <v>10</v>
      </c>
      <c r="C7" s="2">
        <v>4</v>
      </c>
      <c r="D7" s="2"/>
    </row>
    <row r="8" spans="1:4">
      <c r="A8" s="2">
        <v>6</v>
      </c>
      <c r="B8" s="2">
        <v>8</v>
      </c>
      <c r="C8" s="2">
        <v>3</v>
      </c>
      <c r="D8" s="2"/>
    </row>
    <row r="9" spans="1:4">
      <c r="A9" s="2">
        <v>7</v>
      </c>
      <c r="B9" s="2">
        <v>6</v>
      </c>
      <c r="C9" s="2">
        <v>2</v>
      </c>
      <c r="D9" s="2"/>
    </row>
    <row r="10" spans="1:4">
      <c r="A10" s="2">
        <v>8</v>
      </c>
      <c r="B10" s="2">
        <v>4</v>
      </c>
      <c r="C10" s="2">
        <v>1</v>
      </c>
      <c r="D10" s="2"/>
    </row>
    <row r="11" spans="1:4">
      <c r="A11" s="2">
        <v>9</v>
      </c>
      <c r="B11" s="2">
        <v>2</v>
      </c>
      <c r="C11" s="2">
        <v>0</v>
      </c>
      <c r="D11" s="2"/>
    </row>
    <row r="12" spans="1:4">
      <c r="A12" s="2">
        <v>10</v>
      </c>
      <c r="B12" s="2">
        <v>1</v>
      </c>
      <c r="C12" s="2">
        <v>0</v>
      </c>
      <c r="D12" s="2"/>
    </row>
    <row r="13" spans="1:4" ht="28.5">
      <c r="A13" s="2" t="s">
        <v>618</v>
      </c>
      <c r="B13" s="2">
        <v>0</v>
      </c>
      <c r="C13" s="2">
        <v>0</v>
      </c>
      <c r="D13" s="2" t="s">
        <v>619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4.25"/>
  <cols>
    <col min="1" max="1" width="24" customWidth="1"/>
    <col min="2" max="2" width="50" customWidth="1"/>
    <col min="3" max="3" width="70" customWidth="1"/>
  </cols>
  <sheetData>
    <row r="1" spans="1:3">
      <c r="A1" s="3" t="s">
        <v>620</v>
      </c>
      <c r="B1" s="4"/>
      <c r="C1" s="4"/>
    </row>
    <row r="2" spans="1:3" ht="15">
      <c r="A2" s="1" t="s">
        <v>621</v>
      </c>
      <c r="B2" s="1" t="s">
        <v>622</v>
      </c>
      <c r="C2" s="1" t="s">
        <v>623</v>
      </c>
    </row>
    <row r="3" spans="1:3">
      <c r="A3" s="2" t="s">
        <v>624</v>
      </c>
      <c r="B3" s="2" t="s">
        <v>625</v>
      </c>
      <c r="C3" s="2" t="s">
        <v>626</v>
      </c>
    </row>
    <row r="4" spans="1:3">
      <c r="A4" s="2" t="s">
        <v>39</v>
      </c>
      <c r="B4" s="2" t="s">
        <v>627</v>
      </c>
      <c r="C4" s="2" t="s">
        <v>628</v>
      </c>
    </row>
    <row r="5" spans="1:3">
      <c r="A5" s="2" t="s">
        <v>40</v>
      </c>
      <c r="B5" s="2" t="s">
        <v>629</v>
      </c>
      <c r="C5" s="2" t="s">
        <v>630</v>
      </c>
    </row>
    <row r="6" spans="1:3">
      <c r="A6" s="2" t="s">
        <v>41</v>
      </c>
      <c r="B6" s="2" t="s">
        <v>631</v>
      </c>
      <c r="C6" s="2" t="s">
        <v>632</v>
      </c>
    </row>
    <row r="7" spans="1:3">
      <c r="A7" s="2" t="s">
        <v>42</v>
      </c>
      <c r="B7" s="2" t="s">
        <v>633</v>
      </c>
      <c r="C7" s="2" t="s">
        <v>634</v>
      </c>
    </row>
    <row r="8" spans="1:3">
      <c r="A8" s="2" t="s">
        <v>635</v>
      </c>
      <c r="B8" s="2" t="s">
        <v>636</v>
      </c>
      <c r="C8" s="2" t="s">
        <v>637</v>
      </c>
    </row>
    <row r="9" spans="1:3">
      <c r="A9" s="2" t="s">
        <v>204</v>
      </c>
      <c r="B9" s="2" t="s">
        <v>638</v>
      </c>
      <c r="C9" s="2" t="s">
        <v>639</v>
      </c>
    </row>
    <row r="10" spans="1:3">
      <c r="A10" s="2" t="s">
        <v>640</v>
      </c>
      <c r="B10" s="2" t="s">
        <v>641</v>
      </c>
      <c r="C10" s="2" t="s">
        <v>642</v>
      </c>
    </row>
    <row r="11" spans="1:3">
      <c r="A11" s="2" t="s">
        <v>643</v>
      </c>
      <c r="B11" s="2" t="s">
        <v>644</v>
      </c>
      <c r="C11" s="2" t="s">
        <v>645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25"/>
  <cols>
    <col min="1" max="1" width="36" customWidth="1"/>
    <col min="2" max="2" width="90" customWidth="1"/>
    <col min="3" max="3" width="70" customWidth="1"/>
  </cols>
  <sheetData>
    <row r="1" spans="1:3">
      <c r="A1" s="3" t="s">
        <v>646</v>
      </c>
      <c r="B1" s="4"/>
      <c r="C1" s="4"/>
    </row>
    <row r="2" spans="1:3" ht="15">
      <c r="A2" s="1" t="s">
        <v>647</v>
      </c>
      <c r="B2" s="1" t="s">
        <v>648</v>
      </c>
      <c r="C2" s="1" t="s">
        <v>649</v>
      </c>
    </row>
    <row r="3" spans="1:3" ht="28.5">
      <c r="A3" s="2" t="s">
        <v>650</v>
      </c>
      <c r="B3" s="2" t="s">
        <v>530</v>
      </c>
      <c r="C3" s="2" t="s">
        <v>651</v>
      </c>
    </row>
    <row r="4" spans="1:3" ht="28.5">
      <c r="A4" s="2" t="s">
        <v>652</v>
      </c>
      <c r="B4" s="2" t="s">
        <v>653</v>
      </c>
      <c r="C4" s="2" t="s">
        <v>654</v>
      </c>
    </row>
    <row r="5" spans="1:3">
      <c r="A5" s="2" t="s">
        <v>655</v>
      </c>
      <c r="B5" s="2" t="s">
        <v>656</v>
      </c>
      <c r="C5" s="2" t="s">
        <v>657</v>
      </c>
    </row>
    <row r="6" spans="1:3">
      <c r="A6" s="2" t="s">
        <v>658</v>
      </c>
      <c r="B6" s="2" t="s">
        <v>659</v>
      </c>
      <c r="C6" s="2" t="s">
        <v>660</v>
      </c>
    </row>
    <row r="7" spans="1:3">
      <c r="A7" s="2" t="s">
        <v>661</v>
      </c>
      <c r="B7" s="2" t="s">
        <v>662</v>
      </c>
      <c r="C7" s="2" t="s">
        <v>663</v>
      </c>
    </row>
    <row r="8" spans="1:3">
      <c r="A8" s="2" t="s">
        <v>664</v>
      </c>
      <c r="B8" s="2" t="s">
        <v>665</v>
      </c>
      <c r="C8" s="2" t="s">
        <v>666</v>
      </c>
    </row>
    <row r="9" spans="1:3" ht="28.5">
      <c r="A9" s="2" t="s">
        <v>667</v>
      </c>
      <c r="B9" s="2" t="s">
        <v>542</v>
      </c>
      <c r="C9" s="2" t="s">
        <v>668</v>
      </c>
    </row>
    <row r="10" spans="1:3">
      <c r="A10" s="2" t="s">
        <v>669</v>
      </c>
      <c r="B10" s="2" t="s">
        <v>670</v>
      </c>
      <c r="C10" s="2" t="s">
        <v>671</v>
      </c>
    </row>
    <row r="11" spans="1:3">
      <c r="A11" s="2" t="s">
        <v>672</v>
      </c>
      <c r="B11" s="2" t="s">
        <v>534</v>
      </c>
      <c r="C11" s="2" t="s">
        <v>673</v>
      </c>
    </row>
    <row r="12" spans="1:3">
      <c r="A12" s="2" t="s">
        <v>674</v>
      </c>
      <c r="B12" s="2" t="s">
        <v>675</v>
      </c>
      <c r="C12" s="2" t="s">
        <v>676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2026_Calendar_Track_Ratings</vt:lpstr>
      <vt:lpstr>2026_Driver_Ratings</vt:lpstr>
      <vt:lpstr>2026_Team_Car_Ratings</vt:lpstr>
      <vt:lpstr>2026_Driver_Market</vt:lpstr>
      <vt:lpstr>2026_Youth_Prospects</vt:lpstr>
      <vt:lpstr>2026_Regulations_Changes</vt:lpstr>
      <vt:lpstr>Future_Mode_Hooks</vt:lpstr>
      <vt:lpstr>2026_Points_System</vt:lpstr>
      <vt:lpstr>Rating_Key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Terrance Bryant</cp:lastModifiedBy>
  <dcterms:modified xsi:type="dcterms:W3CDTF">2026-06-29T02:38:03Z</dcterms:modified>
</cp:coreProperties>
</file>