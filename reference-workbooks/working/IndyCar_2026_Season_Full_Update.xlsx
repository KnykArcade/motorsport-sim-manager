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F1 Rating\"/>
    </mc:Choice>
  </mc:AlternateContent>
  <xr:revisionPtr revIDLastSave="0" documentId="11_A0EFA64CC01F5F72FEA25DF658BA32DD723C22A1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Summary" sheetId="1" r:id="rId1"/>
    <sheet name="2026_Calendar_Track_Ratings" sheetId="2" r:id="rId2"/>
    <sheet name="Track_Setup_Profiles" sheetId="3" r:id="rId3"/>
    <sheet name="2026_Drivers" sheetId="4" r:id="rId4"/>
    <sheet name="2026_Teams_Cars" sheetId="5" r:id="rId5"/>
    <sheet name="Driver_Market" sheetId="6" r:id="rId6"/>
    <sheet name="Youth_Prospects_U18" sheetId="7" r:id="rId7"/>
    <sheet name="Rules_Regulations_Schedule" sheetId="8" r:id="rId8"/>
    <sheet name="Points_System" sheetId="9" r:id="rId9"/>
    <sheet name="Rating_Key" sheetId="10" r:id="rId10"/>
    <sheet name="Implementation_Notes" sheetId="11" r:id="rId11"/>
    <sheet name="Sourc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5" l="1"/>
  <c r="O16" i="5"/>
  <c r="O15" i="5"/>
  <c r="O14" i="5"/>
  <c r="O13" i="5"/>
  <c r="O12" i="5"/>
  <c r="O11" i="5"/>
  <c r="O10" i="5"/>
  <c r="O9" i="5"/>
  <c r="O8" i="5"/>
  <c r="O7" i="5"/>
  <c r="O6" i="5"/>
  <c r="O5" i="5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</calcChain>
</file>

<file path=xl/sharedStrings.xml><?xml version="1.0" encoding="utf-8"?>
<sst xmlns="http://schemas.openxmlformats.org/spreadsheetml/2006/main" count="1150" uniqueCount="639">
  <si>
    <t>Workbook</t>
  </si>
  <si>
    <t>IndyCar 2026 Season Full Update</t>
  </si>
  <si>
    <t>Purpose</t>
  </si>
  <si>
    <t>Current-era IndyCar database for Motorsport Sim Manager: calendar, track ratings, teams, drivers, market, academy, rules, points.</t>
  </si>
  <si>
    <t>Season Format</t>
  </si>
  <si>
    <t>18 active rounds, including Washington D.C. Freedom 250 added after original 17-race announcement.</t>
  </si>
  <si>
    <t>Game Focus</t>
  </si>
  <si>
    <t>Current Era Career start with future seasons generated from contracts, team development, charters, manufacturer partnerships, and regulation changes.</t>
  </si>
  <si>
    <t>Data Accuracy Note</t>
  </si>
  <si>
    <t>Race schedules/rosters/rules are sourced from official IndyCar pages where possible; ratings are game-simulation values, not official scouting grades.</t>
  </si>
  <si>
    <t>Generated</t>
  </si>
  <si>
    <t>2026-06-29 02:42</t>
  </si>
  <si>
    <t>Key Sheets</t>
  </si>
  <si>
    <t>2026_Calendar_Track_Ratings, Track_Setup_Profiles, 2026_Drivers, 2026_Teams_Cars, Driver_Market, Youth_Prospects_U18, Rules_Regulations_Schedule, Points_System, Implementation_Notes, Sources</t>
  </si>
  <si>
    <t>2026 IndyCar Calendar + Track Ratings</t>
  </si>
  <si>
    <t>Ratings use a 1–10 game scale. Future/scheduled event lap counts are sim defaults where official race distance was not confirmed.</t>
  </si>
  <si>
    <t>Round</t>
  </si>
  <si>
    <t>Date</t>
  </si>
  <si>
    <t>Race</t>
  </si>
  <si>
    <t>Track</t>
  </si>
  <si>
    <t>Location</t>
  </si>
  <si>
    <t>Track_Type</t>
  </si>
  <si>
    <t>Track_Length_mi</t>
  </si>
  <si>
    <t>Laps_Sim_Default</t>
  </si>
  <si>
    <t>Race_Distance_mi</t>
  </si>
  <si>
    <t>2026_Winner</t>
  </si>
  <si>
    <t>Status</t>
  </si>
  <si>
    <t>Corners</t>
  </si>
  <si>
    <t>Braking</t>
  </si>
  <si>
    <t>Straights</t>
  </si>
  <si>
    <t>Traction</t>
  </si>
  <si>
    <t>Elevation_Blind</t>
  </si>
  <si>
    <t>Technical</t>
  </si>
  <si>
    <t>Overtaking</t>
  </si>
  <si>
    <t>Surface_Bumpiness</t>
  </si>
  <si>
    <t>Risk_Wall</t>
  </si>
  <si>
    <t>Endurance</t>
  </si>
  <si>
    <t>Aero_Demand</t>
  </si>
  <si>
    <t>Power_Demand</t>
  </si>
  <si>
    <t>Mechanical_Demand</t>
  </si>
  <si>
    <t>Yellow_Caution_Risk</t>
  </si>
  <si>
    <t>Track_Archetype</t>
  </si>
  <si>
    <t>Strategy_Notes</t>
  </si>
  <si>
    <t>Source_URL</t>
  </si>
  <si>
    <t>Total_Demand</t>
  </si>
  <si>
    <t>2026-03-01</t>
  </si>
  <si>
    <t>Firestone Grand Prix of St. Petersburg</t>
  </si>
  <si>
    <t>Streets of St. Petersburg</t>
  </si>
  <si>
    <t>St. Petersburg, Florida</t>
  </si>
  <si>
    <t>Street</t>
  </si>
  <si>
    <t>Alex Palou</t>
  </si>
  <si>
    <t>Completed</t>
  </si>
  <si>
    <t>Street / Braking / Traction</t>
  </si>
  <si>
    <t>High grip street course, brake zones, concrete patches, caution risk.</t>
  </si>
  <si>
    <t>https://www.indycar.com/news/2025/09/09-16-2026-sked</t>
  </si>
  <si>
    <t>2026-03-07</t>
  </si>
  <si>
    <t>Good Ranchers 250</t>
  </si>
  <si>
    <t>Phoenix Raceway</t>
  </si>
  <si>
    <t>Avondale, Arizona</t>
  </si>
  <si>
    <t>Short Oval</t>
  </si>
  <si>
    <t>Josef Newgarden</t>
  </si>
  <si>
    <t>Short Oval / Traffic / Tire Stints</t>
  </si>
  <si>
    <t>Traffic timing, tire degradation, dirty air and restart choices decide track position.</t>
  </si>
  <si>
    <t>2026-03-15</t>
  </si>
  <si>
    <t>Java House Grand Prix of Arlington</t>
  </si>
  <si>
    <t>Streets of Arlington</t>
  </si>
  <si>
    <t>Arlington, Texas</t>
  </si>
  <si>
    <t>Kyle Kirkwood</t>
  </si>
  <si>
    <t>New Street / Long Lap / Technical</t>
  </si>
  <si>
    <t>New venue; learning curve, pit timing and wall risk important.</t>
  </si>
  <si>
    <t>2026-03-29</t>
  </si>
  <si>
    <t>Children's of Alabama Indy Grand Prix</t>
  </si>
  <si>
    <t>Barber Motorsports Park</t>
  </si>
  <si>
    <t>Birmingham, Alabama</t>
  </si>
  <si>
    <t>Road</t>
  </si>
  <si>
    <t>Technical Road Course / Rhythm</t>
  </si>
  <si>
    <t>Rolling elevation, loaded corners and tire management favor technical precision.</t>
  </si>
  <si>
    <t>2026-04-19</t>
  </si>
  <si>
    <t>Acura Grand Prix of Long Beach</t>
  </si>
  <si>
    <t>Streets of Long Beach</t>
  </si>
  <si>
    <t>Long Beach, California</t>
  </si>
  <si>
    <t>Classic Street / Braking / Track Position</t>
  </si>
  <si>
    <t>Hairpin, concrete walls, brake zones and caution timing drive strategy.</t>
  </si>
  <si>
    <t>2026-05-09</t>
  </si>
  <si>
    <t>Sonsio Grand Prix</t>
  </si>
  <si>
    <t>Indianapolis Motor Speedway Road Course</t>
  </si>
  <si>
    <t>Speedway, Indiana</t>
  </si>
  <si>
    <t>Christian Lundgaard</t>
  </si>
  <si>
    <t>Road / Braking / Passing</t>
  </si>
  <si>
    <t>Long straight into hard braking, alternate tires and P2P create overtaking windows.</t>
  </si>
  <si>
    <t>2026-05-24</t>
  </si>
  <si>
    <t>110th Running of the Indianapolis 500</t>
  </si>
  <si>
    <t>Indianapolis Motor Speedway</t>
  </si>
  <si>
    <t>Superspeedway</t>
  </si>
  <si>
    <t>Felix Rosenqvist</t>
  </si>
  <si>
    <t>Superspeedway / Pack Strategy / Fuel</t>
  </si>
  <si>
    <t>Speedway aero, fuel mileage, cautions and pit execution create major swings.</t>
  </si>
  <si>
    <t>2026-05-31</t>
  </si>
  <si>
    <t>Chevrolet Detroit Grand Prix</t>
  </si>
  <si>
    <t>Streets of Detroit</t>
  </si>
  <si>
    <t>Detroit, Michigan</t>
  </si>
  <si>
    <t>Bumpy Street / Chaos / Traction</t>
  </si>
  <si>
    <t>One of the highest chaos tracks; wall risk, bumps and yellows strongly affect strategy.</t>
  </si>
  <si>
    <t>2026-06-07</t>
  </si>
  <si>
    <t>Bommarito Automotive Group 500</t>
  </si>
  <si>
    <t>World Wide Technology Raceway</t>
  </si>
  <si>
    <t>Madison, Illinois</t>
  </si>
  <si>
    <t>Short Oval / Night / Restarts</t>
  </si>
  <si>
    <t>Night oval with tire falloff, traffic and restart aggression.</t>
  </si>
  <si>
    <t>2026-06-21</t>
  </si>
  <si>
    <t>XPEL Grand Prix at Road America</t>
  </si>
  <si>
    <t>Road America</t>
  </si>
  <si>
    <t>Elkhart Lake, Wisconsin</t>
  </si>
  <si>
    <t>High-Speed Road / Power / Passing</t>
  </si>
  <si>
    <t>Long lap, elevation, P2P, fuel mileage and high-speed braking zones.</t>
  </si>
  <si>
    <t>2026-07-05</t>
  </si>
  <si>
    <t>Honda Indy 200 at Mid-Ohio</t>
  </si>
  <si>
    <t>Mid-Ohio Sports Car Course</t>
  </si>
  <si>
    <t>Lexington, Ohio</t>
  </si>
  <si>
    <t>Scheduled</t>
  </si>
  <si>
    <t>Technical Road / Track Position</t>
  </si>
  <si>
    <t>Narrow, technical and rhythm-based; qualifying and clean-air pace are crucial.</t>
  </si>
  <si>
    <t>https://www.indycar.com/Schedule</t>
  </si>
  <si>
    <t>2026-07-19</t>
  </si>
  <si>
    <t>Borchetta Bourbon Music City Grand Prix</t>
  </si>
  <si>
    <t>Nashville Superspeedway</t>
  </si>
  <si>
    <t>Lebanon, Tennessee</t>
  </si>
  <si>
    <t>Intermediate Oval</t>
  </si>
  <si>
    <t>Concrete Oval / Night / Endurance</t>
  </si>
  <si>
    <t>400-mile night race; tire consistency, traffic and reliability matter heavily.</t>
  </si>
  <si>
    <t>2026-08-09</t>
  </si>
  <si>
    <t>OnlyBulls Grand Prix of Portland</t>
  </si>
  <si>
    <t>Portland International Raceway</t>
  </si>
  <si>
    <t>Portland, Oregon</t>
  </si>
  <si>
    <t>Road / Turn 1 Chaos / Strategy</t>
  </si>
  <si>
    <t>Flat road course with heavy Turn 1 incident potential and pit-cycle opportunity.</t>
  </si>
  <si>
    <t>2026-08-16</t>
  </si>
  <si>
    <t>Ontario Honda Dealers Indy at Markham</t>
  </si>
  <si>
    <t>Streets of Markham</t>
  </si>
  <si>
    <t>Markham, Ontario</t>
  </si>
  <si>
    <t>New Street / Technical / High-Speed Straight</t>
  </si>
  <si>
    <t>New 12-turn street circuit; long straight plus technical sectors and double-sided pit lane.</t>
  </si>
  <si>
    <t>2026-08-23</t>
  </si>
  <si>
    <t>Freedom 250 Grand Prix of Washington, D.C.</t>
  </si>
  <si>
    <t>Streets of Washington</t>
  </si>
  <si>
    <t>Washington, D.C.</t>
  </si>
  <si>
    <t>New Street / Historic / High-Speed Straight</t>
  </si>
  <si>
    <t>First National Mall street race; high-speed run plus tight technical sectors.</t>
  </si>
  <si>
    <t>https://www.indycar.com/Schedule/2026/Washington-DC</t>
  </si>
  <si>
    <t>2026-08-29</t>
  </si>
  <si>
    <t>Snap-on Makers and Fixers 250</t>
  </si>
  <si>
    <t>Milwaukee Mile</t>
  </si>
  <si>
    <t>West Allis, Wisconsin</t>
  </si>
  <si>
    <t>Short Oval / Doubleheader Race 1</t>
  </si>
  <si>
    <t>Lap 1 qualifying sets Race 1 grid; tire and traffic lessons carry into Race 2.</t>
  </si>
  <si>
    <t>2026-08-30</t>
  </si>
  <si>
    <t>Snap-on Milwaukee Mile 250</t>
  </si>
  <si>
    <t>Short Oval / Doubleheader Race 2</t>
  </si>
  <si>
    <t>Lap 2 qualifying sets Race 2 grid; teams react to Race 1 tire and setup data.</t>
  </si>
  <si>
    <t>2026-09-06</t>
  </si>
  <si>
    <t>IndyCar Grand Prix of Monterey</t>
  </si>
  <si>
    <t>WeatherTech Raceway Laguna Seca</t>
  </si>
  <si>
    <t>Monterey, California</t>
  </si>
  <si>
    <t>Technical Finale / Elevation / Tire Wear</t>
  </si>
  <si>
    <t>Championship finale: technical rhythm, elevation and tire strategy under pressure.</t>
  </si>
  <si>
    <t>2026 IndyCar Track Setup Profiles</t>
  </si>
  <si>
    <t>Recommended_Downforce</t>
  </si>
  <si>
    <t>Top_Speed_Emphasis</t>
  </si>
  <si>
    <t>Mechanical_Grip_Emphasis</t>
  </si>
  <si>
    <t>Brake_Demand</t>
  </si>
  <si>
    <t>Tire_Degradation</t>
  </si>
  <si>
    <t>Fuel_Save_Importance</t>
  </si>
  <si>
    <t>Hybrid_Regen_Importance</t>
  </si>
  <si>
    <t>Push_to_Pass_Importance</t>
  </si>
  <si>
    <t>Caution_Probability</t>
  </si>
  <si>
    <t>Pit_Strategy_Sensitivity</t>
  </si>
  <si>
    <t>Recommended_Strategy</t>
  </si>
  <si>
    <t>Live_Race_Decision_Hooks</t>
  </si>
  <si>
    <t>High</t>
  </si>
  <si>
    <t>Prioritize track position and caution windows.</t>
  </si>
  <si>
    <t>Safety-car pit decision; Brake temperature management; Tire vibration / suspension warning</t>
  </si>
  <si>
    <t>Medium-Low</t>
  </si>
  <si>
    <t>Fuel mileage, traffic, and late cautions.</t>
  </si>
  <si>
    <t>P2P attack/defense; Reliability conserve vs push</t>
  </si>
  <si>
    <t>Safety-car pit decision; Brake temperature management</t>
  </si>
  <si>
    <t>Balance alternate tire pace, P2P, and undercut/overcut timing.</t>
  </si>
  <si>
    <t>Reliability conserve vs push; Tire vibration / suspension warning</t>
  </si>
  <si>
    <t>Medium-High</t>
  </si>
  <si>
    <t>Brake temperature management</t>
  </si>
  <si>
    <t>Low</t>
  </si>
  <si>
    <t>Safety-car pit decision; P2P attack/defense; Reliability conserve vs push; Tire vibration / suspension warning</t>
  </si>
  <si>
    <t>Brake temperature management; P2P attack/defense</t>
  </si>
  <si>
    <t>Reliability conserve vs push</t>
  </si>
  <si>
    <t>Safety-car pit decision; Brake temperature management; P2P attack/defense</t>
  </si>
  <si>
    <t>P2P attack/defense; Reliability conserve vs push; Tire vibration / suspension warning</t>
  </si>
  <si>
    <t>2026 IndyCar Driver Ratings</t>
  </si>
  <si>
    <t>Overall is formula-driven from key attributes. Potential is a game-simulation ceiling used for Career Mode growth.</t>
  </si>
  <si>
    <t>Driver</t>
  </si>
  <si>
    <t>Nationality</t>
  </si>
  <si>
    <t>Age_2026</t>
  </si>
  <si>
    <t>Team</t>
  </si>
  <si>
    <t>Car_No</t>
  </si>
  <si>
    <t>Engine</t>
  </si>
  <si>
    <t>Rookie</t>
  </si>
  <si>
    <t>Oval</t>
  </si>
  <si>
    <t>Road_Street</t>
  </si>
  <si>
    <t>Qualifying</t>
  </si>
  <si>
    <t>Race_Pace</t>
  </si>
  <si>
    <t>Racecraft</t>
  </si>
  <si>
    <t>Tire_Mgmt</t>
  </si>
  <si>
    <t>Fuel_Save</t>
  </si>
  <si>
    <t>Passing_Defense</t>
  </si>
  <si>
    <t>Crash_Avoidance</t>
  </si>
  <si>
    <t>Consistency</t>
  </si>
  <si>
    <t>Hybrid_P2P</t>
  </si>
  <si>
    <t>Wet_Variable</t>
  </si>
  <si>
    <t>Overall</t>
  </si>
  <si>
    <t>Potential</t>
  </si>
  <si>
    <t>Market_Value</t>
  </si>
  <si>
    <t>Traits</t>
  </si>
  <si>
    <t>Source</t>
  </si>
  <si>
    <t>Spain</t>
  </si>
  <si>
    <t>Chip Ganassi Racing</t>
  </si>
  <si>
    <t>Honda</t>
  </si>
  <si>
    <t>Full-Time</t>
  </si>
  <si>
    <t>No</t>
  </si>
  <si>
    <t>Elite strategist; tire whisperer; championship leader</t>
  </si>
  <si>
    <t>https://www.indycar.com/Drivers</t>
  </si>
  <si>
    <t>David Malukas</t>
  </si>
  <si>
    <t>United States</t>
  </si>
  <si>
    <t>Team Penske</t>
  </si>
  <si>
    <t>Chevrolet</t>
  </si>
  <si>
    <t>Oval breakout; Penske upside; aggressive</t>
  </si>
  <si>
    <t>Andretti Global</t>
  </si>
  <si>
    <t>Street-course ace; high ceiling; sharp attacker</t>
  </si>
  <si>
    <t>Denmark</t>
  </si>
  <si>
    <t>Arrow McLaren</t>
  </si>
  <si>
    <t>Road-course precision; adaptable; title upside</t>
  </si>
  <si>
    <t>Pato O'Ward</t>
  </si>
  <si>
    <t>Mexico</t>
  </si>
  <si>
    <t>Star power; elite racecraft; crowd favorite</t>
  </si>
  <si>
    <t>Sweden</t>
  </si>
  <si>
    <t>Meyer Shank Racing</t>
  </si>
  <si>
    <t>Fast qualifier; Indy 500 winner baseline; efficient</t>
  </si>
  <si>
    <t>Scott McLaughlin</t>
  </si>
  <si>
    <t>New Zealand</t>
  </si>
  <si>
    <t>Oval/road balance; strong qualifier; Penske polish</t>
  </si>
  <si>
    <t>Oval master; restart aggression; proven winner</t>
  </si>
  <si>
    <t>Marcus Ericsson</t>
  </si>
  <si>
    <t>Indianapolis winner; calm; consistent</t>
  </si>
  <si>
    <t>Scott Dixon</t>
  </si>
  <si>
    <t>Fuel legend; race execution; veteran elite</t>
  </si>
  <si>
    <t>Marcus Armstrong</t>
  </si>
  <si>
    <t>Improving all-rounder; road strength</t>
  </si>
  <si>
    <t>Graham Rahal</t>
  </si>
  <si>
    <t>Rahal Letterman Lanigan Racing</t>
  </si>
  <si>
    <t>Reliable veteran; setup voice; sponsor fit</t>
  </si>
  <si>
    <t>Rinus VeeKay</t>
  </si>
  <si>
    <t>Netherlands</t>
  </si>
  <si>
    <t>Juncos Hollinger Racing</t>
  </si>
  <si>
    <t>Fast but variable; lead-driver role</t>
  </si>
  <si>
    <t>Will Power</t>
  </si>
  <si>
    <t>Australia</t>
  </si>
  <si>
    <t>Qualifying legend; technical feedback; veteran winner</t>
  </si>
  <si>
    <t>Alexander Rossi</t>
  </si>
  <si>
    <t>ECR</t>
  </si>
  <si>
    <t>Indy 500 winner; balanced veteran; sponsor value</t>
  </si>
  <si>
    <t>Kyffin Simpson</t>
  </si>
  <si>
    <t>Cayman Islands</t>
  </si>
  <si>
    <t>Young Ganassi prospect; development upside</t>
  </si>
  <si>
    <t>Santino Ferrucci</t>
  </si>
  <si>
    <t>A.J. Foyt Enterprises</t>
  </si>
  <si>
    <t>Indy specialist; aggressive; sponsor draw</t>
  </si>
  <si>
    <t>Louis Foster</t>
  </si>
  <si>
    <t>United Kingdom</t>
  </si>
  <si>
    <t>Young road-course talent; Indy NXT pedigree</t>
  </si>
  <si>
    <t>Dennis Hauger</t>
  </si>
  <si>
    <t>Norway</t>
  </si>
  <si>
    <t>Dale Coyne Racing</t>
  </si>
  <si>
    <t>Yes</t>
  </si>
  <si>
    <t>Rookie; junior formula winner; high upside</t>
  </si>
  <si>
    <t>Romain Grosjean</t>
  </si>
  <si>
    <t>France</t>
  </si>
  <si>
    <t>Veteran F1 pedigree; volatile pace</t>
  </si>
  <si>
    <t>Nolan Siegel</t>
  </si>
  <si>
    <t>Young McLaren prospect; endurance experience</t>
  </si>
  <si>
    <t>Christian Rasmussen</t>
  </si>
  <si>
    <t>Oval flashes; improving racecraft</t>
  </si>
  <si>
    <t>Caio Collet</t>
  </si>
  <si>
    <t>Brazil</t>
  </si>
  <si>
    <t>Rookie; Foyt/Penske development link</t>
  </si>
  <si>
    <t>Mick Schumacher</t>
  </si>
  <si>
    <t>Germany</t>
  </si>
  <si>
    <t>F1/WEC name value; marketable; adapting to ovals</t>
  </si>
  <si>
    <t>Sting Ray Robb</t>
  </si>
  <si>
    <t>Sponsor-backed; improving; inconsistent</t>
  </si>
  <si>
    <t>Conor Daly</t>
  </si>
  <si>
    <t>Dreyer &amp; Reinbold Racing</t>
  </si>
  <si>
    <t>Indy 500</t>
  </si>
  <si>
    <t>500 specialist; fan favorite; oval sub</t>
  </si>
  <si>
    <t>Takuma Sato</t>
  </si>
  <si>
    <t>Japan</t>
  </si>
  <si>
    <t>Two-time Indy winner; high-risk/high-reward</t>
  </si>
  <si>
    <t>Jack Harvey</t>
  </si>
  <si>
    <t>Experienced substitute; steady</t>
  </si>
  <si>
    <t>Jacob Abel</t>
  </si>
  <si>
    <t>Abel Motorsports</t>
  </si>
  <si>
    <t>Family team link; development path</t>
  </si>
  <si>
    <t>Hélio Castroneves</t>
  </si>
  <si>
    <t>Four-time 500 winner; veteran presence</t>
  </si>
  <si>
    <t>Ed Carpenter</t>
  </si>
  <si>
    <t>Owner-driver; oval specialist</t>
  </si>
  <si>
    <t>Ryan Hunter-Reay</t>
  </si>
  <si>
    <t>Indy 500 winner; veteran sub</t>
  </si>
  <si>
    <t>Katherine Legge</t>
  </si>
  <si>
    <t>HMD Motorsports w/ AJ Foyt Racing</t>
  </si>
  <si>
    <t>Experienced 500 entry; road/oval veteran</t>
  </si>
  <si>
    <t>2026 IndyCar Teams / Cars / Performance</t>
  </si>
  <si>
    <t>All teams share the Dallara chassis/Firestone tire platform. Team ratings model operations, engineering, engine partnership and budget differences.</t>
  </si>
  <si>
    <t>Cars</t>
  </si>
  <si>
    <t>Chassis</t>
  </si>
  <si>
    <t>Tires</t>
  </si>
  <si>
    <t>Road_Street_Setup</t>
  </si>
  <si>
    <t>Oval_Setup</t>
  </si>
  <si>
    <t>Strategy</t>
  </si>
  <si>
    <t>Pit_Crew</t>
  </si>
  <si>
    <t>Engineering</t>
  </si>
  <si>
    <t>Reliability</t>
  </si>
  <si>
    <t>Development_Budget</t>
  </si>
  <si>
    <t>Sponsor_Strength</t>
  </si>
  <si>
    <t>Academy_Scouting</t>
  </si>
  <si>
    <t>Strengths</t>
  </si>
  <si>
    <t>Weaknesses</t>
  </si>
  <si>
    <t>Career_Mode_Hook</t>
  </si>
  <si>
    <t>8,9,10</t>
  </si>
  <si>
    <t>Dallara IR-12 / IR-18 aero kit</t>
  </si>
  <si>
    <t>Firestone</t>
  </si>
  <si>
    <t>Elite race execution, fuel strategy, Palou/Dixon baseline</t>
  </si>
  <si>
    <t>Expensive roster; future transition planning</t>
  </si>
  <si>
    <t>Title favorite; best current-era career baseline</t>
  </si>
  <si>
    <t>https://www.indycar.com/Teams</t>
  </si>
  <si>
    <t>2,3,12</t>
  </si>
  <si>
    <t>Oval package, pit execution, budget, engineering</t>
  </si>
  <si>
    <t>Pressure after 2025 penalties/staff changes</t>
  </si>
  <si>
    <t>Immediate title contender with oval dominance</t>
  </si>
  <si>
    <t>5,6,7,31</t>
  </si>
  <si>
    <t>Star power, Pato/Lundgaard, strong development budget</t>
  </si>
  <si>
    <t>Converting speed into championships</t>
  </si>
  <si>
    <t>High-upside dynasty save</t>
  </si>
  <si>
    <t>26,27,28</t>
  </si>
  <si>
    <t>Kirkwood, Power, Ericsson; street-course strength</t>
  </si>
  <si>
    <t>Consistency and strategy swings</t>
  </si>
  <si>
    <t>Can return to elite status with execution gains</t>
  </si>
  <si>
    <t>60,66,06</t>
  </si>
  <si>
    <t>Rosenqvist/Armstrong, Ganassi technical link</t>
  </si>
  <si>
    <t>Smaller scale than superteams</t>
  </si>
  <si>
    <t>Strong mid-upper team with growth potential</t>
  </si>
  <si>
    <t>15,45,47,75</t>
  </si>
  <si>
    <t>Deep roster, engineering turnaround potential</t>
  </si>
  <si>
    <t>Needs qualifying and oval consistency</t>
  </si>
  <si>
    <t>Good rebuild/academy save</t>
  </si>
  <si>
    <t>4,14,11</t>
  </si>
  <si>
    <t>Foyt/Penske technical partnership, Ferrucci Indy strength</t>
  </si>
  <si>
    <t>Road-course pace and consistency</t>
  </si>
  <si>
    <t>Underdog with real technical bridge</t>
  </si>
  <si>
    <t>20,21,33</t>
  </si>
  <si>
    <t>Oval knowledge, Rossi experience, Rasmussen growth</t>
  </si>
  <si>
    <t>Road-course speed and budget limitations</t>
  </si>
  <si>
    <t>Classic oval-first rebuild</t>
  </si>
  <si>
    <t>76,77</t>
  </si>
  <si>
    <t>VeeKay lead-driver pace, hungry team</t>
  </si>
  <si>
    <t>Budget/consistency, operational depth</t>
  </si>
  <si>
    <t>Hard-mode save; build professionalism</t>
  </si>
  <si>
    <t>18,19</t>
  </si>
  <si>
    <t>Grosjean/Hauger mix, Andretti technical alliance</t>
  </si>
  <si>
    <t>Resource limits, rookie learning curve</t>
  </si>
  <si>
    <t>Prospect development save</t>
  </si>
  <si>
    <t>23,24</t>
  </si>
  <si>
    <t>Indianapolis focus, veteran one-off expertise</t>
  </si>
  <si>
    <t>Not full-time; limited development base</t>
  </si>
  <si>
    <t>500-specialist expansion candidate</t>
  </si>
  <si>
    <t>51</t>
  </si>
  <si>
    <t>Return entry; academy/family ladder potential</t>
  </si>
  <si>
    <t>Limited scale; one-off schedule</t>
  </si>
  <si>
    <t>Expansion team / career-mode growth project</t>
  </si>
  <si>
    <t>11</t>
  </si>
  <si>
    <t>Indy NXT pipeline, development identity</t>
  </si>
  <si>
    <t>Limited NTT experience</t>
  </si>
  <si>
    <t>Best academy-focused long-term path</t>
  </si>
  <si>
    <t>2026 IndyCar Driver Market</t>
  </si>
  <si>
    <t>Senior and feeder-market options for Career Mode. Values are gameplay estimates.</t>
  </si>
  <si>
    <t>Current_Status</t>
  </si>
  <si>
    <t>Market_Status</t>
  </si>
  <si>
    <t>Estimated_Cost</t>
  </si>
  <si>
    <t>Willingness_To_Move</t>
  </si>
  <si>
    <t>Oval_Readiness</t>
  </si>
  <si>
    <t>Notes</t>
  </si>
  <si>
    <t>Colton Herta</t>
  </si>
  <si>
    <t>Cadillac F1 Test Driver</t>
  </si>
  <si>
    <t>Unavailable/Buyout</t>
  </si>
  <si>
    <t>Elite IndyCar star outside series; expensive/future return hook</t>
  </si>
  <si>
    <t>Linus Lundqvist</t>
  </si>
  <si>
    <t>Reserve / Sports Cars</t>
  </si>
  <si>
    <t>Available</t>
  </si>
  <si>
    <t>Former Ganassi race winner; good comeback option</t>
  </si>
  <si>
    <t>Devlin DeFrancesco</t>
  </si>
  <si>
    <t>Canada</t>
  </si>
  <si>
    <t>Sports Cars / Free Agent</t>
  </si>
  <si>
    <t>Budget/sponsor option</t>
  </si>
  <si>
    <t>Toby Sowery</t>
  </si>
  <si>
    <t>AJ Foyt Reserve</t>
  </si>
  <si>
    <t>Reserve</t>
  </si>
  <si>
    <t>Reliable reserve; versatile</t>
  </si>
  <si>
    <t>Callum Ilott</t>
  </si>
  <si>
    <t>WEC / Free Agent</t>
  </si>
  <si>
    <t>F1/F2 pedigree; good road/street pace</t>
  </si>
  <si>
    <t>Théo Pourchaire</t>
  </si>
  <si>
    <t>Super Formula / Reserve</t>
  </si>
  <si>
    <t>High-upside European talent; oval learning risk</t>
  </si>
  <si>
    <t>Robert Shwartzman</t>
  </si>
  <si>
    <t>Israel</t>
  </si>
  <si>
    <t>Sports Cars / Reserve</t>
  </si>
  <si>
    <t>Strong road course profile</t>
  </si>
  <si>
    <t>Jamie Chadwick</t>
  </si>
  <si>
    <t>Indy NXT / Sports Cars</t>
  </si>
  <si>
    <t>Marketability and road-course development</t>
  </si>
  <si>
    <t>Hunter McElrea</t>
  </si>
  <si>
    <t>Road course option</t>
  </si>
  <si>
    <t>Myles Rowe</t>
  </si>
  <si>
    <t>Indy NXT</t>
  </si>
  <si>
    <t>FeederSeries</t>
  </si>
  <si>
    <t>US prospect; academy fit</t>
  </si>
  <si>
    <t>Josh Pierson</t>
  </si>
  <si>
    <t>Indy NXT / Endurance</t>
  </si>
  <si>
    <t>Young endurance talent</t>
  </si>
  <si>
    <t>Current IndyCar</t>
  </si>
  <si>
    <t>Contracted</t>
  </si>
  <si>
    <t>Already in field; buyout target</t>
  </si>
  <si>
    <t>Rookie full-time; high potential</t>
  </si>
  <si>
    <t>Sébastien Bourdais</t>
  </si>
  <si>
    <t>Sports Cars</t>
  </si>
  <si>
    <t>Veteran</t>
  </si>
  <si>
    <t>Veteran road/street consultant</t>
  </si>
  <si>
    <t>Simona de Silvestro</t>
  </si>
  <si>
    <t>Switzerland</t>
  </si>
  <si>
    <t>Experienced veteran/reserve</t>
  </si>
  <si>
    <t>R.C. Enerson</t>
  </si>
  <si>
    <t>Free Agent</t>
  </si>
  <si>
    <t>Low-cost reserve</t>
  </si>
  <si>
    <t>Oliver Askew</t>
  </si>
  <si>
    <t>Former IndyCar experience</t>
  </si>
  <si>
    <t>Benjamin Pedersen</t>
  </si>
  <si>
    <t>Budget/backmarker option</t>
  </si>
  <si>
    <t>Enzo Fittipaldi</t>
  </si>
  <si>
    <t>F2/Sports Cars</t>
  </si>
  <si>
    <t>Name value and open-wheel pedigree</t>
  </si>
  <si>
    <t>Frederik Vesti</t>
  </si>
  <si>
    <t>High-level junior résumé; oval conversion needed</t>
  </si>
  <si>
    <t>2026 IndyCar Youth Academy Prospects U18</t>
  </si>
  <si>
    <t>Fictionalized under-18 prospects for academy gameplay. They cannot be signed directly to IndyCar seats.</t>
  </si>
  <si>
    <t>Prospect</t>
  </si>
  <si>
    <t>Current_Level</t>
  </si>
  <si>
    <t>Oval_Aptitude</t>
  </si>
  <si>
    <t>Road_Street_Aptitude</t>
  </si>
  <si>
    <t>Raw_Pace</t>
  </si>
  <si>
    <t>Composure</t>
  </si>
  <si>
    <t>Adaptability</t>
  </si>
  <si>
    <t>Development_Rate</t>
  </si>
  <si>
    <t>Years_Until_IndyCar_Ready</t>
  </si>
  <si>
    <t>Signing_Cost</t>
  </si>
  <si>
    <t>Yearly_Academy_Cost</t>
  </si>
  <si>
    <t>Risk_Level</t>
  </si>
  <si>
    <t>Mason Brooks</t>
  </si>
  <si>
    <t>USF Juniors/Karting</t>
  </si>
  <si>
    <t>Medium</t>
  </si>
  <si>
    <t>Oval curiosity; strong sim work</t>
  </si>
  <si>
    <t>Fictionalized prospect for gameplay</t>
  </si>
  <si>
    <t>Luca Moretti</t>
  </si>
  <si>
    <t>Italy</t>
  </si>
  <si>
    <t>Formula 4</t>
  </si>
  <si>
    <t>Road course specialist</t>
  </si>
  <si>
    <t>Ethan Carter</t>
  </si>
  <si>
    <t>Karting</t>
  </si>
  <si>
    <t>Raw pace; needs racecraft</t>
  </si>
  <si>
    <t>Sofia Martinez</t>
  </si>
  <si>
    <t>USF Juniors</t>
  </si>
  <si>
    <t>Sponsor upside; Pato market fit</t>
  </si>
  <si>
    <t>Noah Tremblay</t>
  </si>
  <si>
    <t>Karting/Formula Ford</t>
  </si>
  <si>
    <t>Markham/Canada commercial fit</t>
  </si>
  <si>
    <t>Kai Tanaka</t>
  </si>
  <si>
    <t>Honda pathway; disciplined</t>
  </si>
  <si>
    <t>Diego Alvarez</t>
  </si>
  <si>
    <t>Colombia</t>
  </si>
  <si>
    <t>Aggressive; high ceiling</t>
  </si>
  <si>
    <t>Riley Thompson</t>
  </si>
  <si>
    <t>Oval-first American prospect</t>
  </si>
  <si>
    <t>Aiden Murphy</t>
  </si>
  <si>
    <t>Ireland</t>
  </si>
  <si>
    <t>Rain feel; technical tracks</t>
  </si>
  <si>
    <t>Mateo Silva</t>
  </si>
  <si>
    <t>Adaptable; good race IQ</t>
  </si>
  <si>
    <t>Grace Wilson</t>
  </si>
  <si>
    <t>Composed; sponsor-friendly</t>
  </si>
  <si>
    <t>Oliver Jensen</t>
  </si>
  <si>
    <t>Consistent; Lundgaard/Hauger pathway</t>
  </si>
  <si>
    <t>Arjun Mehta</t>
  </si>
  <si>
    <t>India</t>
  </si>
  <si>
    <t>Global market upside</t>
  </si>
  <si>
    <t>Benji Walker</t>
  </si>
  <si>
    <t>Formula Ford</t>
  </si>
  <si>
    <t>Oval conversion potential</t>
  </si>
  <si>
    <t>Tomás Herrera</t>
  </si>
  <si>
    <t>Argentina</t>
  </si>
  <si>
    <t>Raw speed; risk-taking</t>
  </si>
  <si>
    <t>2026 IndyCar Rules / Schedule / Regulation Changes</t>
  </si>
  <si>
    <t>Category</t>
  </si>
  <si>
    <t>2026 Detail</t>
  </si>
  <si>
    <t>Game System Impact</t>
  </si>
  <si>
    <t>2026 IndyCar Detail</t>
  </si>
  <si>
    <t>Calendar</t>
  </si>
  <si>
    <t>18 races including added Freedom 250 Grand Prix of Washington, D.C.</t>
  </si>
  <si>
    <t>Use active 18-race current-era schedule; D.C. can be a schedule-event module.</t>
  </si>
  <si>
    <t>https://www.indycar.com/news/2026/01/01-30-freedom250gp</t>
  </si>
  <si>
    <t>New Venues</t>
  </si>
  <si>
    <t>Phoenix returns; Arlington, Markham and Washington D.C. debut.</t>
  </si>
  <si>
    <t>Increase track-learning uncertainty, setup confidence variance, and incident probability.</t>
  </si>
  <si>
    <t>Dropped/changed events</t>
  </si>
  <si>
    <t>Thermal Club and Iowa are off the schedule; Toronto moves to Markham; Laguna Seca returns as finale.</t>
  </si>
  <si>
    <t>Career calendar generator should support event churn and venue contracts.</t>
  </si>
  <si>
    <t>Nashville</t>
  </si>
  <si>
    <t>Music City GP moves to July 19 and becomes a 400-mile night race.</t>
  </si>
  <si>
    <t>High endurance/reliability and caution strategy weight.</t>
  </si>
  <si>
    <t>Milwaukee</t>
  </si>
  <si>
    <t>Milwaukee becomes a doubleheader weekend.</t>
  </si>
  <si>
    <t>Use doubleheader qualifying logic; Race 1/2 share setup learning and tire knowledge.</t>
  </si>
  <si>
    <t>Hybrid system</t>
  </si>
  <si>
    <t>Hybrid ERS introduced in 2024 and remains a major strategic layer.</t>
  </si>
  <si>
    <t>Add hybrid deployment/regen management to qualifying and race decisions.</t>
  </si>
  <si>
    <t>https://www.indycar.com/Fan-Info/INDYCAR-101/Technology</t>
  </si>
  <si>
    <t>Car spec</t>
  </si>
  <si>
    <t>Dallara IR-12 chassis with IR-18 aero kit; Honda/Chevrolet 2.2L twin-turbo V6 hybrid; Firestone tires.</t>
  </si>
  <si>
    <t>Team performance differences should be engineering/strategy/engine partnership rather than chassis design.</t>
  </si>
  <si>
    <t>https://www.indycar.com/Fan-Info/INDYCAR-101/Additional-Updates</t>
  </si>
  <si>
    <t>Push-to-Pass update</t>
  </si>
  <si>
    <t>From IMS road course onward, P2P is allowed full-time on road/street courses once eligible, including restarts.</t>
  </si>
  <si>
    <t>Add restart attack/defense decisions and P2P availability rules.</t>
  </si>
  <si>
    <t>https://www.indycar.com/news/2026/05/05-05-p2p</t>
  </si>
  <si>
    <t>Independent officiating</t>
  </si>
  <si>
    <t>New independent INDYCAR Officiating structure begins in 2026.</t>
  </si>
  <si>
    <t>Add steward/race-control consistency and penalty-review system.</t>
  </si>
  <si>
    <t>Road/street uses segments to Firestone Fast Six; ovals use single-car timed runs; Indy 500 has separate multi-session qualifying.</t>
  </si>
  <si>
    <t>Race weekend engine must support per-track qualifying formats.</t>
  </si>
  <si>
    <t>2027 charter hook</t>
  </si>
  <si>
    <t>Non-chartered entries barred outside Indy 500 from 2027.</t>
  </si>
  <si>
    <t>Career mode should model charters/franchise security and expansion difficulty.</t>
  </si>
  <si>
    <t>https://en.wikipedia.org/wiki/2026_IndyCar_Series</t>
  </si>
  <si>
    <t>2028 future rules hook</t>
  </si>
  <si>
    <t>Chevrolet/Honda remain for 2028 new 2.4L twin-turbo hybrid V6 rules.</t>
  </si>
  <si>
    <t>Add future regulation reset and manufacturer negotiation for generated future seasons.</t>
  </si>
  <si>
    <t>2026 IndyCar Points System</t>
  </si>
  <si>
    <t>Position</t>
  </si>
  <si>
    <t>Race Finish Points</t>
  </si>
  <si>
    <t>Bonus / Special</t>
  </si>
  <si>
    <t>Points / Rule</t>
  </si>
  <si>
    <t>Game Implementation</t>
  </si>
  <si>
    <t>Winner</t>
  </si>
  <si>
    <t>Pole position</t>
  </si>
  <si>
    <t>+1 point except Indianapolis 500</t>
  </si>
  <si>
    <t>Apply at normal oval/road/street events.</t>
  </si>
  <si>
    <t>Led at least one lap</t>
  </si>
  <si>
    <t>+1 point</t>
  </si>
  <si>
    <t>Award if driver led any green/yellow lap in race sim.</t>
  </si>
  <si>
    <t>Most laps led</t>
  </si>
  <si>
    <t>+2 points</t>
  </si>
  <si>
    <t>Award one driver with highest laps led; tie handled by final position/series rules.</t>
  </si>
  <si>
    <t>Indy 500 qualifying</t>
  </si>
  <si>
    <t>Top 12 score 12 down to 1</t>
  </si>
  <si>
    <t>Separate qualifying-points module for Indianapolis 500.</t>
  </si>
  <si>
    <t>Half points on DNS after participating</t>
  </si>
  <si>
    <t>If car practices/qualifies but cannot start, earns half of start points</t>
  </si>
  <si>
    <t>Useful for crash/reliability consequences.</t>
  </si>
  <si>
    <t>-1 per position through 24th</t>
  </si>
  <si>
    <t>25th+ score 5</t>
  </si>
  <si>
    <t>Rating Key</t>
  </si>
  <si>
    <t>Scale / Field</t>
  </si>
  <si>
    <t>Meaning</t>
  </si>
  <si>
    <t>Game Use</t>
  </si>
  <si>
    <t>1–10 Ratings</t>
  </si>
  <si>
    <t>1 = very weak/low demand; 10 = elite/high demand</t>
  </si>
  <si>
    <t>Used by race/qualifying simulation formulas.</t>
  </si>
  <si>
    <t>Overall Driver</t>
  </si>
  <si>
    <t>Formula average of driving skill attributes × 10</t>
  </si>
  <si>
    <t>Initial performance baseline, not a fixed result script.</t>
  </si>
  <si>
    <t>Career-mode development ceiling</t>
  </si>
  <si>
    <t>Growth, decline, contracts and academy progression.</t>
  </si>
  <si>
    <t>Track Demand</t>
  </si>
  <si>
    <t>Average of track rating columns</t>
  </si>
  <si>
    <t>Useful for difficulty/chaos preview.</t>
  </si>
  <si>
    <t>Yellow/Caution Risk</t>
  </si>
  <si>
    <t>Higher value increases cautions, incident prompts and pit-window volatility</t>
  </si>
  <si>
    <t>Important for live-race AI strategy.</t>
  </si>
  <si>
    <t>Hybrid/P2P</t>
  </si>
  <si>
    <t>Models energy deployment, regen and push-to-pass racecraft</t>
  </si>
  <si>
    <t>Critical in modern IndyCar save logic.</t>
  </si>
  <si>
    <t>Oval vs Road/Street</t>
  </si>
  <si>
    <t>Separate skill emphasis for current-era IndyCar diversity</t>
  </si>
  <si>
    <t>IndyCar drivers should not be rated using F1-only profiles.</t>
  </si>
  <si>
    <t>Implementation Notes for Windsurf / Devin</t>
  </si>
  <si>
    <t>System</t>
  </si>
  <si>
    <t>Implementation Note</t>
  </si>
  <si>
    <t>Series model</t>
  </si>
  <si>
    <t>Add seriesId = INDYCAR. Support mixed oval/road/street schedules, full-course yellows, restart rules, P2P, hybrid, and spec chassis/engine manufacturers.</t>
  </si>
  <si>
    <t>Car model</t>
  </si>
  <si>
    <t>Unlike F1, team performance is less about unique car design and more about engineering setup, engine partnership, pit execution, strategy and budget.</t>
  </si>
  <si>
    <t>Live race sim</t>
  </si>
  <si>
    <t>Full-course yellows, pit timing and restarts should be more influential than in F1. Race control/penalties should be visible.</t>
  </si>
  <si>
    <t>Use different qualifying formats by Track_Type: road/street segments, oval single-car runs, Indy 500 multi-session points format, Milwaukee doubleheader two-lap logic.</t>
  </si>
  <si>
    <t>Add alternate/primary tire rules for road/street courses, oval stint/tire degradation, P2P availability, fuel mileage, and caution-window strategy.</t>
  </si>
  <si>
    <t>Future career</t>
  </si>
  <si>
    <t>2027 charter restrictions and 2028 new chassis/engine rules are strong offseason hooks.</t>
  </si>
  <si>
    <t>Driver market</t>
  </si>
  <si>
    <t>Include feeder ladder from INDY NXT/USF Pro, sports car drivers, F1/WEC converts, and Indy 500-only veterans.</t>
  </si>
  <si>
    <t>Academy</t>
  </si>
  <si>
    <t>Use fictional under-18 prospects to avoid locking minor real drivers; let academy investments route them through USF Juniors/USF2000/USF Pro/INDY NXT.</t>
  </si>
  <si>
    <t>Schedule churn</t>
  </si>
  <si>
    <t>Calendar contracts should allow one-off events, doubleheaders, new street circuits, and venue losses.</t>
  </si>
  <si>
    <t>Sources Used</t>
  </si>
  <si>
    <t>Plain-text URLs are included for spreadsheet source traceability.</t>
  </si>
  <si>
    <t>URL</t>
  </si>
  <si>
    <t>INDYCAR 2026 schedule announcement</t>
  </si>
  <si>
    <t>INDYCAR official schedule</t>
  </si>
  <si>
    <t>INDYCAR 2026 drivers</t>
  </si>
  <si>
    <t>INDYCAR 2026 teams</t>
  </si>
  <si>
    <t>INDYCAR technology/hybrid/car specs</t>
  </si>
  <si>
    <t>INDYCAR rules/points/qualifying</t>
  </si>
  <si>
    <t>INDYCAR Push to Pass 2026 update</t>
  </si>
  <si>
    <t>Freedom 250 official event page</t>
  </si>
  <si>
    <t>Freedom 250 announcement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</si>
</sst>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4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yCalendar2026" displayName="IndyCalendar2026" ref="A4:AB22">
  <tableColumns count="28">
    <tableColumn id="1" xr3:uid="{00000000-0010-0000-0000-000001000000}" name="Round"/>
    <tableColumn id="2" xr3:uid="{00000000-0010-0000-0000-000002000000}" name="Date"/>
    <tableColumn id="3" xr3:uid="{00000000-0010-0000-0000-000003000000}" name="Race"/>
    <tableColumn id="4" xr3:uid="{00000000-0010-0000-0000-000004000000}" name="Track"/>
    <tableColumn id="5" xr3:uid="{00000000-0010-0000-0000-000005000000}" name="Location"/>
    <tableColumn id="6" xr3:uid="{00000000-0010-0000-0000-000006000000}" name="Track_Type"/>
    <tableColumn id="7" xr3:uid="{00000000-0010-0000-0000-000007000000}" name="Track_Length_mi"/>
    <tableColumn id="8" xr3:uid="{00000000-0010-0000-0000-000008000000}" name="Laps_Sim_Default"/>
    <tableColumn id="9" xr3:uid="{00000000-0010-0000-0000-000009000000}" name="Race_Distance_mi"/>
    <tableColumn id="10" xr3:uid="{00000000-0010-0000-0000-00000A000000}" name="2026_Winner"/>
    <tableColumn id="11" xr3:uid="{00000000-0010-0000-0000-00000B000000}" name="Status"/>
    <tableColumn id="12" xr3:uid="{00000000-0010-0000-0000-00000C000000}" name="Corners"/>
    <tableColumn id="13" xr3:uid="{00000000-0010-0000-0000-00000D000000}" name="Braking"/>
    <tableColumn id="14" xr3:uid="{00000000-0010-0000-0000-00000E000000}" name="Straights"/>
    <tableColumn id="15" xr3:uid="{00000000-0010-0000-0000-00000F000000}" name="Traction"/>
    <tableColumn id="16" xr3:uid="{00000000-0010-0000-0000-000010000000}" name="Elevation_Blind"/>
    <tableColumn id="17" xr3:uid="{00000000-0010-0000-0000-000011000000}" name="Technical"/>
    <tableColumn id="18" xr3:uid="{00000000-0010-0000-0000-000012000000}" name="Overtaking"/>
    <tableColumn id="19" xr3:uid="{00000000-0010-0000-0000-000013000000}" name="Surface_Bumpiness"/>
    <tableColumn id="20" xr3:uid="{00000000-0010-0000-0000-000014000000}" name="Risk_Wall"/>
    <tableColumn id="21" xr3:uid="{00000000-0010-0000-0000-000015000000}" name="Endurance"/>
    <tableColumn id="22" xr3:uid="{00000000-0010-0000-0000-000016000000}" name="Aero_Demand"/>
    <tableColumn id="23" xr3:uid="{00000000-0010-0000-0000-000017000000}" name="Power_Demand"/>
    <tableColumn id="24" xr3:uid="{00000000-0010-0000-0000-000018000000}" name="Mechanical_Demand"/>
    <tableColumn id="25" xr3:uid="{00000000-0010-0000-0000-000019000000}" name="Yellow_Caution_Risk"/>
    <tableColumn id="26" xr3:uid="{00000000-0010-0000-0000-00001A000000}" name="Track_Archetype"/>
    <tableColumn id="27" xr3:uid="{00000000-0010-0000-0000-00001B000000}" name="Strategy_Notes"/>
    <tableColumn id="28" xr3:uid="{00000000-0010-0000-0000-00001C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upProfiles2026" displayName="SetupProfiles2026" ref="A3:P21">
  <tableColumns count="16">
    <tableColumn id="1" xr3:uid="{00000000-0010-0000-0100-000001000000}" name="Round"/>
    <tableColumn id="2" xr3:uid="{00000000-0010-0000-0100-000002000000}" name="Race"/>
    <tableColumn id="3" xr3:uid="{00000000-0010-0000-0100-000003000000}" name="Track"/>
    <tableColumn id="4" xr3:uid="{00000000-0010-0000-0100-000004000000}" name="Track_Type"/>
    <tableColumn id="5" xr3:uid="{00000000-0010-0000-0100-000005000000}" name="Recommended_Downforce"/>
    <tableColumn id="6" xr3:uid="{00000000-0010-0000-0100-000006000000}" name="Top_Speed_Emphasis"/>
    <tableColumn id="7" xr3:uid="{00000000-0010-0000-0100-000007000000}" name="Mechanical_Grip_Emphasis"/>
    <tableColumn id="8" xr3:uid="{00000000-0010-0000-0100-000008000000}" name="Brake_Demand"/>
    <tableColumn id="9" xr3:uid="{00000000-0010-0000-0100-000009000000}" name="Tire_Degradation"/>
    <tableColumn id="10" xr3:uid="{00000000-0010-0000-0100-00000A000000}" name="Fuel_Save_Importance"/>
    <tableColumn id="11" xr3:uid="{00000000-0010-0000-0100-00000B000000}" name="Hybrid_Regen_Importance"/>
    <tableColumn id="12" xr3:uid="{00000000-0010-0000-0100-00000C000000}" name="Push_to_Pass_Importance"/>
    <tableColumn id="13" xr3:uid="{00000000-0010-0000-0100-00000D000000}" name="Caution_Probability"/>
    <tableColumn id="14" xr3:uid="{00000000-0010-0000-0100-00000E000000}" name="Pit_Strategy_Sensitivity"/>
    <tableColumn id="15" xr3:uid="{00000000-0010-0000-0100-00000F000000}" name="Recommended_Strategy"/>
    <tableColumn id="16" xr3:uid="{00000000-0010-0000-0100-000010000000}" name="Live_Race_Decision_Hoo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rivers2026" displayName="Drivers2026" ref="A4:Y37">
  <tableColumns count="25">
    <tableColumn id="1" xr3:uid="{00000000-0010-0000-0200-000001000000}" name="Driver"/>
    <tableColumn id="2" xr3:uid="{00000000-0010-0000-0200-000002000000}" name="Nationality"/>
    <tableColumn id="3" xr3:uid="{00000000-0010-0000-0200-000003000000}" name="Age_2026"/>
    <tableColumn id="4" xr3:uid="{00000000-0010-0000-0200-000004000000}" name="Team"/>
    <tableColumn id="5" xr3:uid="{00000000-0010-0000-0200-000005000000}" name="Car_No"/>
    <tableColumn id="6" xr3:uid="{00000000-0010-0000-0200-000006000000}" name="Engine"/>
    <tableColumn id="7" xr3:uid="{00000000-0010-0000-0200-000007000000}" name="Status"/>
    <tableColumn id="8" xr3:uid="{00000000-0010-0000-0200-000008000000}" name="Rookie"/>
    <tableColumn id="9" xr3:uid="{00000000-0010-0000-0200-000009000000}" name="Oval"/>
    <tableColumn id="10" xr3:uid="{00000000-0010-0000-0200-00000A000000}" name="Road_Street"/>
    <tableColumn id="11" xr3:uid="{00000000-0010-0000-0200-00000B000000}" name="Qualifying"/>
    <tableColumn id="12" xr3:uid="{00000000-0010-0000-0200-00000C000000}" name="Race_Pace"/>
    <tableColumn id="13" xr3:uid="{00000000-0010-0000-0200-00000D000000}" name="Racecraft"/>
    <tableColumn id="14" xr3:uid="{00000000-0010-0000-0200-00000E000000}" name="Tire_Mgmt"/>
    <tableColumn id="15" xr3:uid="{00000000-0010-0000-0200-00000F000000}" name="Fuel_Save"/>
    <tableColumn id="16" xr3:uid="{00000000-0010-0000-0200-000010000000}" name="Passing_Defense"/>
    <tableColumn id="17" xr3:uid="{00000000-0010-0000-0200-000011000000}" name="Crash_Avoidance"/>
    <tableColumn id="18" xr3:uid="{00000000-0010-0000-0200-000012000000}" name="Consistency"/>
    <tableColumn id="19" xr3:uid="{00000000-0010-0000-0200-000013000000}" name="Hybrid_P2P"/>
    <tableColumn id="20" xr3:uid="{00000000-0010-0000-0200-000014000000}" name="Wet_Variable"/>
    <tableColumn id="21" xr3:uid="{00000000-0010-0000-0200-000015000000}" name="Overall"/>
    <tableColumn id="22" xr3:uid="{00000000-0010-0000-0200-000016000000}" name="Potential"/>
    <tableColumn id="23" xr3:uid="{00000000-0010-0000-0200-000017000000}" name="Market_Value"/>
    <tableColumn id="24" xr3:uid="{00000000-0010-0000-0200-000018000000}" name="Traits"/>
    <tableColumn id="25" xr3:uid="{00000000-0010-0000-0200-000019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ams2026" displayName="Teams2026" ref="A4:S17">
  <tableColumns count="19">
    <tableColumn id="1" xr3:uid="{00000000-0010-0000-0300-000001000000}" name="Team"/>
    <tableColumn id="2" xr3:uid="{00000000-0010-0000-0300-000002000000}" name="Engine"/>
    <tableColumn id="3" xr3:uid="{00000000-0010-0000-0300-000003000000}" name="Cars"/>
    <tableColumn id="4" xr3:uid="{00000000-0010-0000-0300-000004000000}" name="Chassis"/>
    <tableColumn id="5" xr3:uid="{00000000-0010-0000-0300-000005000000}" name="Tires"/>
    <tableColumn id="6" xr3:uid="{00000000-0010-0000-0300-000006000000}" name="Road_Street_Setup"/>
    <tableColumn id="7" xr3:uid="{00000000-0010-0000-0300-000007000000}" name="Oval_Setup"/>
    <tableColumn id="8" xr3:uid="{00000000-0010-0000-0300-000008000000}" name="Strategy"/>
    <tableColumn id="9" xr3:uid="{00000000-0010-0000-0300-000009000000}" name="Pit_Crew"/>
    <tableColumn id="10" xr3:uid="{00000000-0010-0000-0300-00000A000000}" name="Engineering"/>
    <tableColumn id="11" xr3:uid="{00000000-0010-0000-0300-00000B000000}" name="Reliability"/>
    <tableColumn id="12" xr3:uid="{00000000-0010-0000-0300-00000C000000}" name="Development_Budget"/>
    <tableColumn id="13" xr3:uid="{00000000-0010-0000-0300-00000D000000}" name="Sponsor_Strength"/>
    <tableColumn id="14" xr3:uid="{00000000-0010-0000-0300-00000E000000}" name="Academy_Scouting"/>
    <tableColumn id="15" xr3:uid="{00000000-0010-0000-0300-00000F000000}" name="Overall"/>
    <tableColumn id="16" xr3:uid="{00000000-0010-0000-0300-000010000000}" name="Strengths"/>
    <tableColumn id="17" xr3:uid="{00000000-0010-0000-0300-000011000000}" name="Weaknesses"/>
    <tableColumn id="18" xr3:uid="{00000000-0010-0000-0300-000012000000}" name="Career_Mode_Hook"/>
    <tableColumn id="19" xr3:uid="{00000000-0010-0000-0300-000013000000}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riverMarket2026" displayName="DriverMarket2026" ref="A4:K24">
  <tableColumns count="11">
    <tableColumn id="1" xr3:uid="{00000000-0010-0000-0400-000001000000}" name="Driver"/>
    <tableColumn id="2" xr3:uid="{00000000-0010-0000-0400-000002000000}" name="Nationality"/>
    <tableColumn id="3" xr3:uid="{00000000-0010-0000-0400-000003000000}" name="Age_2026"/>
    <tableColumn id="4" xr3:uid="{00000000-0010-0000-0400-000004000000}" name="Current_Status"/>
    <tableColumn id="5" xr3:uid="{00000000-0010-0000-0400-000005000000}" name="Market_Status"/>
    <tableColumn id="6" xr3:uid="{00000000-0010-0000-0400-000006000000}" name="Overall"/>
    <tableColumn id="7" xr3:uid="{00000000-0010-0000-0400-000007000000}" name="Potential"/>
    <tableColumn id="8" xr3:uid="{00000000-0010-0000-0400-000008000000}" name="Estimated_Cost"/>
    <tableColumn id="9" xr3:uid="{00000000-0010-0000-0400-000009000000}" name="Willingness_To_Move"/>
    <tableColumn id="10" xr3:uid="{00000000-0010-0000-0400-00000A000000}" name="Oval_Readiness"/>
    <tableColumn id="11" xr3:uid="{00000000-0010-0000-0400-00000B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YouthProspects2026" displayName="YouthProspects2026" ref="A4:R19">
  <tableColumns count="18">
    <tableColumn id="1" xr3:uid="{00000000-0010-0000-0500-000001000000}" name="Prospect"/>
    <tableColumn id="2" xr3:uid="{00000000-0010-0000-0500-000002000000}" name="Nationality"/>
    <tableColumn id="3" xr3:uid="{00000000-0010-0000-0500-000003000000}" name="Age_2026"/>
    <tableColumn id="4" xr3:uid="{00000000-0010-0000-0500-000004000000}" name="Current_Level"/>
    <tableColumn id="5" xr3:uid="{00000000-0010-0000-0500-000005000000}" name="Oval_Aptitude"/>
    <tableColumn id="6" xr3:uid="{00000000-0010-0000-0500-000006000000}" name="Road_Street_Aptitude"/>
    <tableColumn id="7" xr3:uid="{00000000-0010-0000-0500-000007000000}" name="Raw_Pace"/>
    <tableColumn id="8" xr3:uid="{00000000-0010-0000-0500-000008000000}" name="Racecraft"/>
    <tableColumn id="9" xr3:uid="{00000000-0010-0000-0500-000009000000}" name="Composure"/>
    <tableColumn id="10" xr3:uid="{00000000-0010-0000-0500-00000A000000}" name="Adaptability"/>
    <tableColumn id="11" xr3:uid="{00000000-0010-0000-0500-00000B000000}" name="Development_Rate"/>
    <tableColumn id="12" xr3:uid="{00000000-0010-0000-0500-00000C000000}" name="Potential"/>
    <tableColumn id="13" xr3:uid="{00000000-0010-0000-0500-00000D000000}" name="Years_Until_IndyCar_Ready"/>
    <tableColumn id="14" xr3:uid="{00000000-0010-0000-0500-00000E000000}" name="Signing_Cost"/>
    <tableColumn id="15" xr3:uid="{00000000-0010-0000-0500-00000F000000}" name="Yearly_Academy_Cost"/>
    <tableColumn id="16" xr3:uid="{00000000-0010-0000-0500-000010000000}" name="Risk_Level"/>
    <tableColumn id="17" xr3:uid="{00000000-0010-0000-0500-000011000000}" name="Traits"/>
    <tableColumn id="18" xr3:uid="{00000000-0010-0000-0500-000012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ules2026" displayName="Rules2026" ref="A3:D16">
  <tableColumns count="4">
    <tableColumn id="1" xr3:uid="{00000000-0010-0000-0600-000001000000}" name="Category"/>
    <tableColumn id="2" xr3:uid="{00000000-0010-0000-0600-000002000000}" name="2026 Detail"/>
    <tableColumn id="3" xr3:uid="{00000000-0010-0000-0600-000003000000}" name="Game System Impact"/>
    <tableColumn id="4" xr3:uid="{00000000-0010-0000-0600-000004000000}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dyPoints2026" displayName="IndyPoints2026" ref="A3:C36">
  <tableColumns count="3">
    <tableColumn id="1" xr3:uid="{00000000-0010-0000-0700-000001000000}" name="Position"/>
    <tableColumn id="2" xr3:uid="{00000000-0010-0000-0700-000002000000}" name="Race Finish Points"/>
    <tableColumn id="3" xr3:uid="{00000000-0010-0000-0700-000003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ndyBonusPoints2026" displayName="IndyBonusPoints2026" ref="E3:H8">
  <tableColumns count="4">
    <tableColumn id="1" xr3:uid="{00000000-0010-0000-0800-000001000000}" name="Bonus / Special"/>
    <tableColumn id="2" xr3:uid="{00000000-0010-0000-0800-000002000000}" name="Points / Rule"/>
    <tableColumn id="3" xr3:uid="{00000000-0010-0000-0800-000003000000}" name="Game Implementation"/>
    <tableColumn id="4" xr3:uid="{00000000-0010-0000-0800-000004000000}" name="Source_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atingKey" displayName="RatingKey" ref="A3:C10">
  <tableColumns count="3">
    <tableColumn id="1" xr3:uid="{00000000-0010-0000-0900-000001000000}" name="Scale / Field"/>
    <tableColumn id="2" xr3:uid="{00000000-0010-0000-0900-000002000000}" name="Meaning"/>
    <tableColumn id="3" xr3:uid="{00000000-0010-0000-0900-000003000000}" name="Game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mplementationNotes2026" displayName="ImplementationNotes2026" ref="A3:B12">
  <tableColumns count="2">
    <tableColumn id="1" xr3:uid="{00000000-0010-0000-0A00-000001000000}" name="System"/>
    <tableColumn id="2" xr3:uid="{00000000-0010-0000-0A00-000002000000}" name="Implementation 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rcesTable" displayName="SourcesTable" ref="A4:B13">
  <tableColumns count="2">
    <tableColumn id="1" xr3:uid="{00000000-0010-0000-0B00-000001000000}" name="Source"/>
    <tableColumn id="2" xr3:uid="{00000000-0010-0000-0B00-000002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25"/>
  <cols>
    <col min="1" max="1" width="24" customWidth="1"/>
    <col min="2" max="2" width="80" customWidth="1"/>
  </cols>
  <sheetData>
    <row r="1" spans="1:2" ht="20.25">
      <c r="A1" s="2" t="s">
        <v>0</v>
      </c>
      <c r="B1" s="2" t="s">
        <v>1</v>
      </c>
    </row>
    <row r="2" spans="1:2" ht="28.5">
      <c r="A2" s="3" t="s">
        <v>2</v>
      </c>
      <c r="B2" s="3" t="s">
        <v>3</v>
      </c>
    </row>
    <row r="3" spans="1:2" ht="28.5">
      <c r="A3" s="3" t="s">
        <v>4</v>
      </c>
      <c r="B3" s="3" t="s">
        <v>5</v>
      </c>
    </row>
    <row r="4" spans="1:2" ht="28.5">
      <c r="A4" s="3" t="s">
        <v>6</v>
      </c>
      <c r="B4" s="3" t="s">
        <v>7</v>
      </c>
    </row>
    <row r="5" spans="1:2" ht="28.5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 ht="42.75">
      <c r="A7" s="3" t="s">
        <v>12</v>
      </c>
      <c r="B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"/>
  <sheetViews>
    <sheetView topLeftCell="A11" workbookViewId="0"/>
  </sheetViews>
  <sheetFormatPr defaultRowHeight="14.25"/>
  <cols>
    <col min="1" max="2" width="12" customWidth="1"/>
    <col min="3" max="25" width="18" customWidth="1"/>
    <col min="26" max="28" width="32" customWidth="1"/>
    <col min="29" max="29" width="14" customWidth="1"/>
  </cols>
  <sheetData>
    <row r="1" spans="1:29" ht="20.25">
      <c r="A1" s="1" t="s">
        <v>14</v>
      </c>
    </row>
    <row r="2" spans="1:29">
      <c r="A2" s="4" t="s">
        <v>15</v>
      </c>
    </row>
    <row r="4" spans="1:29" ht="30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31</v>
      </c>
      <c r="Q4" s="6" t="s">
        <v>32</v>
      </c>
      <c r="R4" s="6" t="s">
        <v>33</v>
      </c>
      <c r="S4" s="6" t="s">
        <v>34</v>
      </c>
      <c r="T4" s="6" t="s">
        <v>35</v>
      </c>
      <c r="U4" s="6" t="s">
        <v>36</v>
      </c>
      <c r="V4" s="6" t="s">
        <v>37</v>
      </c>
      <c r="W4" s="6" t="s">
        <v>38</v>
      </c>
      <c r="X4" s="6" t="s">
        <v>39</v>
      </c>
      <c r="Y4" s="6" t="s">
        <v>40</v>
      </c>
      <c r="Z4" s="6" t="s">
        <v>41</v>
      </c>
      <c r="AA4" s="6" t="s">
        <v>42</v>
      </c>
      <c r="AB4" s="6" t="s">
        <v>43</v>
      </c>
      <c r="AC4" s="5" t="s">
        <v>44</v>
      </c>
    </row>
    <row r="5" spans="1:29" ht="28.5">
      <c r="A5" s="7">
        <v>1</v>
      </c>
      <c r="B5" s="8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9">
        <v>1.8</v>
      </c>
      <c r="H5" s="9">
        <v>100</v>
      </c>
      <c r="I5" s="9">
        <v>180</v>
      </c>
      <c r="J5" s="7" t="s">
        <v>50</v>
      </c>
      <c r="K5" s="7" t="s">
        <v>51</v>
      </c>
      <c r="L5" s="7">
        <v>7</v>
      </c>
      <c r="M5" s="7">
        <v>8</v>
      </c>
      <c r="N5" s="7">
        <v>5</v>
      </c>
      <c r="O5" s="7">
        <v>8</v>
      </c>
      <c r="P5" s="7">
        <v>3</v>
      </c>
      <c r="Q5" s="7">
        <v>8</v>
      </c>
      <c r="R5" s="7">
        <v>7</v>
      </c>
      <c r="S5" s="7">
        <v>7</v>
      </c>
      <c r="T5" s="7">
        <v>8</v>
      </c>
      <c r="U5" s="7">
        <v>8</v>
      </c>
      <c r="V5" s="7">
        <v>7</v>
      </c>
      <c r="W5" s="7">
        <v>5</v>
      </c>
      <c r="X5" s="7">
        <v>8</v>
      </c>
      <c r="Y5" s="7">
        <v>8</v>
      </c>
      <c r="Z5" s="7" t="s">
        <v>52</v>
      </c>
      <c r="AA5" s="7" t="s">
        <v>53</v>
      </c>
      <c r="AB5" s="7" t="s">
        <v>54</v>
      </c>
      <c r="AC5">
        <f t="shared" ref="AC5:AC22" si="0">ROUND(AVERAGE(L5:Y5),1)</f>
        <v>6.9</v>
      </c>
    </row>
    <row r="6" spans="1:29" ht="42.75">
      <c r="A6" s="7">
        <v>2</v>
      </c>
      <c r="B6" s="8" t="s">
        <v>55</v>
      </c>
      <c r="C6" s="7" t="s">
        <v>56</v>
      </c>
      <c r="D6" s="7" t="s">
        <v>57</v>
      </c>
      <c r="E6" s="7" t="s">
        <v>58</v>
      </c>
      <c r="F6" s="7" t="s">
        <v>59</v>
      </c>
      <c r="G6" s="9">
        <v>1.022</v>
      </c>
      <c r="H6" s="9">
        <v>250</v>
      </c>
      <c r="I6" s="9">
        <v>255.5</v>
      </c>
      <c r="J6" s="7" t="s">
        <v>60</v>
      </c>
      <c r="K6" s="7" t="s">
        <v>51</v>
      </c>
      <c r="L6" s="7">
        <v>6</v>
      </c>
      <c r="M6" s="7">
        <v>6</v>
      </c>
      <c r="N6" s="7">
        <v>9</v>
      </c>
      <c r="O6" s="7">
        <v>7</v>
      </c>
      <c r="P6" s="7">
        <v>2</v>
      </c>
      <c r="Q6" s="7">
        <v>6</v>
      </c>
      <c r="R6" s="7">
        <v>8</v>
      </c>
      <c r="S6" s="7">
        <v>6</v>
      </c>
      <c r="T6" s="7">
        <v>7</v>
      </c>
      <c r="U6" s="7">
        <v>9</v>
      </c>
      <c r="V6" s="7">
        <v>5</v>
      </c>
      <c r="W6" s="7">
        <v>9</v>
      </c>
      <c r="X6" s="7">
        <v>7</v>
      </c>
      <c r="Y6" s="7">
        <v>7</v>
      </c>
      <c r="Z6" s="7" t="s">
        <v>61</v>
      </c>
      <c r="AA6" s="7" t="s">
        <v>62</v>
      </c>
      <c r="AB6" s="7" t="s">
        <v>54</v>
      </c>
      <c r="AC6">
        <f t="shared" si="0"/>
        <v>6.7</v>
      </c>
    </row>
    <row r="7" spans="1:29" ht="28.5">
      <c r="A7" s="7">
        <v>3</v>
      </c>
      <c r="B7" s="8" t="s">
        <v>63</v>
      </c>
      <c r="C7" s="7" t="s">
        <v>64</v>
      </c>
      <c r="D7" s="7" t="s">
        <v>65</v>
      </c>
      <c r="E7" s="7" t="s">
        <v>66</v>
      </c>
      <c r="F7" s="7" t="s">
        <v>49</v>
      </c>
      <c r="G7" s="9">
        <v>2.73</v>
      </c>
      <c r="H7" s="9">
        <v>90</v>
      </c>
      <c r="I7" s="9">
        <v>245.7</v>
      </c>
      <c r="J7" s="7" t="s">
        <v>67</v>
      </c>
      <c r="K7" s="7" t="s">
        <v>51</v>
      </c>
      <c r="L7" s="7">
        <v>8</v>
      </c>
      <c r="M7" s="7">
        <v>8</v>
      </c>
      <c r="N7" s="7">
        <v>6</v>
      </c>
      <c r="O7" s="7">
        <v>8</v>
      </c>
      <c r="P7" s="7">
        <v>3</v>
      </c>
      <c r="Q7" s="7">
        <v>8</v>
      </c>
      <c r="R7" s="7">
        <v>7</v>
      </c>
      <c r="S7" s="7">
        <v>6</v>
      </c>
      <c r="T7" s="7">
        <v>8</v>
      </c>
      <c r="U7" s="7">
        <v>7</v>
      </c>
      <c r="V7" s="7">
        <v>8</v>
      </c>
      <c r="W7" s="7">
        <v>6</v>
      </c>
      <c r="X7" s="7">
        <v>8</v>
      </c>
      <c r="Y7" s="7">
        <v>8</v>
      </c>
      <c r="Z7" s="7" t="s">
        <v>68</v>
      </c>
      <c r="AA7" s="7" t="s">
        <v>69</v>
      </c>
      <c r="AB7" s="7" t="s">
        <v>54</v>
      </c>
      <c r="AC7">
        <f t="shared" si="0"/>
        <v>7.1</v>
      </c>
    </row>
    <row r="8" spans="1:29" ht="42.75">
      <c r="A8" s="7">
        <v>4</v>
      </c>
      <c r="B8" s="8" t="s">
        <v>70</v>
      </c>
      <c r="C8" s="7" t="s">
        <v>71</v>
      </c>
      <c r="D8" s="7" t="s">
        <v>72</v>
      </c>
      <c r="E8" s="7" t="s">
        <v>73</v>
      </c>
      <c r="F8" s="7" t="s">
        <v>74</v>
      </c>
      <c r="G8" s="9">
        <v>2.38</v>
      </c>
      <c r="H8" s="9">
        <v>90</v>
      </c>
      <c r="I8" s="9">
        <v>214.2</v>
      </c>
      <c r="J8" s="7" t="s">
        <v>50</v>
      </c>
      <c r="K8" s="7" t="s">
        <v>51</v>
      </c>
      <c r="L8" s="7">
        <v>9</v>
      </c>
      <c r="M8" s="7">
        <v>7</v>
      </c>
      <c r="N8" s="7">
        <v>5</v>
      </c>
      <c r="O8" s="7">
        <v>7</v>
      </c>
      <c r="P8" s="7">
        <v>8</v>
      </c>
      <c r="Q8" s="7">
        <v>9</v>
      </c>
      <c r="R8" s="7">
        <v>5</v>
      </c>
      <c r="S8" s="7">
        <v>7</v>
      </c>
      <c r="T8" s="7">
        <v>5</v>
      </c>
      <c r="U8" s="7">
        <v>9</v>
      </c>
      <c r="V8" s="7">
        <v>9</v>
      </c>
      <c r="W8" s="7">
        <v>4</v>
      </c>
      <c r="X8" s="7">
        <v>7</v>
      </c>
      <c r="Y8" s="7">
        <v>6</v>
      </c>
      <c r="Z8" s="7" t="s">
        <v>75</v>
      </c>
      <c r="AA8" s="7" t="s">
        <v>76</v>
      </c>
      <c r="AB8" s="7" t="s">
        <v>54</v>
      </c>
      <c r="AC8">
        <f t="shared" si="0"/>
        <v>6.9</v>
      </c>
    </row>
    <row r="9" spans="1:29" ht="28.5">
      <c r="A9" s="7">
        <v>5</v>
      </c>
      <c r="B9" s="8" t="s">
        <v>77</v>
      </c>
      <c r="C9" s="7" t="s">
        <v>78</v>
      </c>
      <c r="D9" s="7" t="s">
        <v>79</v>
      </c>
      <c r="E9" s="7" t="s">
        <v>80</v>
      </c>
      <c r="F9" s="7" t="s">
        <v>49</v>
      </c>
      <c r="G9" s="9">
        <v>1.968</v>
      </c>
      <c r="H9" s="9">
        <v>85</v>
      </c>
      <c r="I9" s="9">
        <v>167.3</v>
      </c>
      <c r="J9" s="7" t="s">
        <v>50</v>
      </c>
      <c r="K9" s="7" t="s">
        <v>51</v>
      </c>
      <c r="L9" s="7">
        <v>7</v>
      </c>
      <c r="M9" s="7">
        <v>9</v>
      </c>
      <c r="N9" s="7">
        <v>5</v>
      </c>
      <c r="O9" s="7">
        <v>8</v>
      </c>
      <c r="P9" s="7">
        <v>2</v>
      </c>
      <c r="Q9" s="7">
        <v>8</v>
      </c>
      <c r="R9" s="7">
        <v>6</v>
      </c>
      <c r="S9" s="7">
        <v>7</v>
      </c>
      <c r="T9" s="7">
        <v>9</v>
      </c>
      <c r="U9" s="7">
        <v>7</v>
      </c>
      <c r="V9" s="7">
        <v>8</v>
      </c>
      <c r="W9" s="7">
        <v>5</v>
      </c>
      <c r="X9" s="7">
        <v>8</v>
      </c>
      <c r="Y9" s="7">
        <v>8</v>
      </c>
      <c r="Z9" s="7" t="s">
        <v>81</v>
      </c>
      <c r="AA9" s="7" t="s">
        <v>82</v>
      </c>
      <c r="AB9" s="7" t="s">
        <v>54</v>
      </c>
      <c r="AC9">
        <f t="shared" si="0"/>
        <v>6.9</v>
      </c>
    </row>
    <row r="10" spans="1:29" ht="42.75">
      <c r="A10" s="7">
        <v>6</v>
      </c>
      <c r="B10" s="8" t="s">
        <v>83</v>
      </c>
      <c r="C10" s="7" t="s">
        <v>84</v>
      </c>
      <c r="D10" s="7" t="s">
        <v>85</v>
      </c>
      <c r="E10" s="7" t="s">
        <v>86</v>
      </c>
      <c r="F10" s="7" t="s">
        <v>74</v>
      </c>
      <c r="G10" s="9">
        <v>2.4390000000000001</v>
      </c>
      <c r="H10" s="9">
        <v>85</v>
      </c>
      <c r="I10" s="9">
        <v>207.3</v>
      </c>
      <c r="J10" s="7" t="s">
        <v>87</v>
      </c>
      <c r="K10" s="7" t="s">
        <v>51</v>
      </c>
      <c r="L10" s="7">
        <v>7</v>
      </c>
      <c r="M10" s="7">
        <v>8</v>
      </c>
      <c r="N10" s="7">
        <v>7</v>
      </c>
      <c r="O10" s="7">
        <v>7</v>
      </c>
      <c r="P10" s="7">
        <v>3</v>
      </c>
      <c r="Q10" s="7">
        <v>7</v>
      </c>
      <c r="R10" s="7">
        <v>8</v>
      </c>
      <c r="S10" s="7">
        <v>6</v>
      </c>
      <c r="T10" s="7">
        <v>5</v>
      </c>
      <c r="U10" s="7">
        <v>8</v>
      </c>
      <c r="V10" s="7">
        <v>7</v>
      </c>
      <c r="W10" s="7">
        <v>7</v>
      </c>
      <c r="X10" s="7">
        <v>7</v>
      </c>
      <c r="Y10" s="7">
        <v>6</v>
      </c>
      <c r="Z10" s="7" t="s">
        <v>88</v>
      </c>
      <c r="AA10" s="7" t="s">
        <v>89</v>
      </c>
      <c r="AB10" s="7" t="s">
        <v>54</v>
      </c>
      <c r="AC10">
        <f t="shared" si="0"/>
        <v>6.6</v>
      </c>
    </row>
    <row r="11" spans="1:29" ht="42.75">
      <c r="A11" s="7">
        <v>7</v>
      </c>
      <c r="B11" s="8" t="s">
        <v>90</v>
      </c>
      <c r="C11" s="7" t="s">
        <v>91</v>
      </c>
      <c r="D11" s="7" t="s">
        <v>92</v>
      </c>
      <c r="E11" s="7" t="s">
        <v>86</v>
      </c>
      <c r="F11" s="7" t="s">
        <v>93</v>
      </c>
      <c r="G11" s="9">
        <v>2.5</v>
      </c>
      <c r="H11" s="9">
        <v>200</v>
      </c>
      <c r="I11" s="9">
        <v>500</v>
      </c>
      <c r="J11" s="7" t="s">
        <v>94</v>
      </c>
      <c r="K11" s="7" t="s">
        <v>51</v>
      </c>
      <c r="L11" s="7">
        <v>4</v>
      </c>
      <c r="M11" s="7">
        <v>5</v>
      </c>
      <c r="N11" s="7">
        <v>10</v>
      </c>
      <c r="O11" s="7">
        <v>5</v>
      </c>
      <c r="P11" s="7">
        <v>1</v>
      </c>
      <c r="Q11" s="7">
        <v>5</v>
      </c>
      <c r="R11" s="7">
        <v>9</v>
      </c>
      <c r="S11" s="7">
        <v>5</v>
      </c>
      <c r="T11" s="7">
        <v>7</v>
      </c>
      <c r="U11" s="7">
        <v>10</v>
      </c>
      <c r="V11" s="7">
        <v>3</v>
      </c>
      <c r="W11" s="7">
        <v>10</v>
      </c>
      <c r="X11" s="7">
        <v>5</v>
      </c>
      <c r="Y11" s="7">
        <v>9</v>
      </c>
      <c r="Z11" s="7" t="s">
        <v>95</v>
      </c>
      <c r="AA11" s="7" t="s">
        <v>96</v>
      </c>
      <c r="AB11" s="7" t="s">
        <v>54</v>
      </c>
      <c r="AC11">
        <f t="shared" si="0"/>
        <v>6.3</v>
      </c>
    </row>
    <row r="12" spans="1:29" ht="42.75">
      <c r="A12" s="7">
        <v>8</v>
      </c>
      <c r="B12" s="8" t="s">
        <v>97</v>
      </c>
      <c r="C12" s="7" t="s">
        <v>98</v>
      </c>
      <c r="D12" s="7" t="s">
        <v>99</v>
      </c>
      <c r="E12" s="7" t="s">
        <v>100</v>
      </c>
      <c r="F12" s="7" t="s">
        <v>49</v>
      </c>
      <c r="G12" s="9">
        <v>1.645</v>
      </c>
      <c r="H12" s="9">
        <v>100</v>
      </c>
      <c r="I12" s="9">
        <v>164.5</v>
      </c>
      <c r="J12" s="7" t="s">
        <v>50</v>
      </c>
      <c r="K12" s="7" t="s">
        <v>51</v>
      </c>
      <c r="L12" s="7">
        <v>7</v>
      </c>
      <c r="M12" s="7">
        <v>9</v>
      </c>
      <c r="N12" s="7">
        <v>5</v>
      </c>
      <c r="O12" s="7">
        <v>9</v>
      </c>
      <c r="P12" s="7">
        <v>2</v>
      </c>
      <c r="Q12" s="7">
        <v>8</v>
      </c>
      <c r="R12" s="7">
        <v>6</v>
      </c>
      <c r="S12" s="7">
        <v>8</v>
      </c>
      <c r="T12" s="7">
        <v>10</v>
      </c>
      <c r="U12" s="7">
        <v>8</v>
      </c>
      <c r="V12" s="7">
        <v>8</v>
      </c>
      <c r="W12" s="7">
        <v>5</v>
      </c>
      <c r="X12" s="7">
        <v>9</v>
      </c>
      <c r="Y12" s="7">
        <v>9</v>
      </c>
      <c r="Z12" s="7" t="s">
        <v>101</v>
      </c>
      <c r="AA12" s="7" t="s">
        <v>102</v>
      </c>
      <c r="AB12" s="7" t="s">
        <v>54</v>
      </c>
      <c r="AC12">
        <f t="shared" si="0"/>
        <v>7.4</v>
      </c>
    </row>
    <row r="13" spans="1:29" ht="42.75">
      <c r="A13" s="7">
        <v>9</v>
      </c>
      <c r="B13" s="8" t="s">
        <v>103</v>
      </c>
      <c r="C13" s="7" t="s">
        <v>104</v>
      </c>
      <c r="D13" s="7" t="s">
        <v>105</v>
      </c>
      <c r="E13" s="7" t="s">
        <v>106</v>
      </c>
      <c r="F13" s="7" t="s">
        <v>59</v>
      </c>
      <c r="G13" s="9">
        <v>1.25</v>
      </c>
      <c r="H13" s="9">
        <v>260</v>
      </c>
      <c r="I13" s="9">
        <v>325</v>
      </c>
      <c r="J13" s="7" t="s">
        <v>60</v>
      </c>
      <c r="K13" s="7" t="s">
        <v>51</v>
      </c>
      <c r="L13" s="7">
        <v>6</v>
      </c>
      <c r="M13" s="7">
        <v>6</v>
      </c>
      <c r="N13" s="7">
        <v>9</v>
      </c>
      <c r="O13" s="7">
        <v>7</v>
      </c>
      <c r="P13" s="7">
        <v>2</v>
      </c>
      <c r="Q13" s="7">
        <v>6</v>
      </c>
      <c r="R13" s="7">
        <v>8</v>
      </c>
      <c r="S13" s="7">
        <v>7</v>
      </c>
      <c r="T13" s="7">
        <v>8</v>
      </c>
      <c r="U13" s="7">
        <v>9</v>
      </c>
      <c r="V13" s="7">
        <v>5</v>
      </c>
      <c r="W13" s="7">
        <v>9</v>
      </c>
      <c r="X13" s="7">
        <v>7</v>
      </c>
      <c r="Y13" s="7">
        <v>8</v>
      </c>
      <c r="Z13" s="7" t="s">
        <v>107</v>
      </c>
      <c r="AA13" s="7" t="s">
        <v>108</v>
      </c>
      <c r="AB13" s="7" t="s">
        <v>54</v>
      </c>
      <c r="AC13">
        <f t="shared" si="0"/>
        <v>6.9</v>
      </c>
    </row>
    <row r="14" spans="1:29" ht="28.5">
      <c r="A14" s="7">
        <v>10</v>
      </c>
      <c r="B14" s="8" t="s">
        <v>109</v>
      </c>
      <c r="C14" s="7" t="s">
        <v>110</v>
      </c>
      <c r="D14" s="7" t="s">
        <v>111</v>
      </c>
      <c r="E14" s="7" t="s">
        <v>112</v>
      </c>
      <c r="F14" s="7" t="s">
        <v>74</v>
      </c>
      <c r="G14" s="9">
        <v>4.0140000000000002</v>
      </c>
      <c r="H14" s="9">
        <v>55</v>
      </c>
      <c r="I14" s="9">
        <v>220.8</v>
      </c>
      <c r="J14" s="7" t="s">
        <v>87</v>
      </c>
      <c r="K14" s="7" t="s">
        <v>51</v>
      </c>
      <c r="L14" s="7">
        <v>8</v>
      </c>
      <c r="M14" s="7">
        <v>8</v>
      </c>
      <c r="N14" s="7">
        <v>9</v>
      </c>
      <c r="O14" s="7">
        <v>7</v>
      </c>
      <c r="P14" s="7">
        <v>8</v>
      </c>
      <c r="Q14" s="7">
        <v>8</v>
      </c>
      <c r="R14" s="7">
        <v>9</v>
      </c>
      <c r="S14" s="7">
        <v>6</v>
      </c>
      <c r="T14" s="7">
        <v>5</v>
      </c>
      <c r="U14" s="7">
        <v>8</v>
      </c>
      <c r="V14" s="7">
        <v>8</v>
      </c>
      <c r="W14" s="7">
        <v>9</v>
      </c>
      <c r="X14" s="7">
        <v>7</v>
      </c>
      <c r="Y14" s="7">
        <v>6</v>
      </c>
      <c r="Z14" s="7" t="s">
        <v>113</v>
      </c>
      <c r="AA14" s="7" t="s">
        <v>114</v>
      </c>
      <c r="AB14" s="7" t="s">
        <v>54</v>
      </c>
      <c r="AC14">
        <f t="shared" si="0"/>
        <v>7.6</v>
      </c>
    </row>
    <row r="15" spans="1:29" ht="42.75">
      <c r="A15" s="7">
        <v>11</v>
      </c>
      <c r="B15" s="8" t="s">
        <v>115</v>
      </c>
      <c r="C15" s="7" t="s">
        <v>116</v>
      </c>
      <c r="D15" s="7" t="s">
        <v>117</v>
      </c>
      <c r="E15" s="7" t="s">
        <v>118</v>
      </c>
      <c r="F15" s="7" t="s">
        <v>74</v>
      </c>
      <c r="G15" s="9">
        <v>2.258</v>
      </c>
      <c r="H15" s="9">
        <v>80</v>
      </c>
      <c r="I15" s="9">
        <v>180.6</v>
      </c>
      <c r="J15" s="7"/>
      <c r="K15" s="7" t="s">
        <v>119</v>
      </c>
      <c r="L15" s="7">
        <v>9</v>
      </c>
      <c r="M15" s="7">
        <v>7</v>
      </c>
      <c r="N15" s="7">
        <v>5</v>
      </c>
      <c r="O15" s="7">
        <v>8</v>
      </c>
      <c r="P15" s="7">
        <v>7</v>
      </c>
      <c r="Q15" s="7">
        <v>9</v>
      </c>
      <c r="R15" s="7">
        <v>5</v>
      </c>
      <c r="S15" s="7">
        <v>6</v>
      </c>
      <c r="T15" s="7">
        <v>5</v>
      </c>
      <c r="U15" s="7">
        <v>9</v>
      </c>
      <c r="V15" s="7">
        <v>9</v>
      </c>
      <c r="W15" s="7">
        <v>4</v>
      </c>
      <c r="X15" s="7">
        <v>8</v>
      </c>
      <c r="Y15" s="7">
        <v>6</v>
      </c>
      <c r="Z15" s="7" t="s">
        <v>120</v>
      </c>
      <c r="AA15" s="7" t="s">
        <v>121</v>
      </c>
      <c r="AB15" s="7" t="s">
        <v>122</v>
      </c>
      <c r="AC15">
        <f t="shared" si="0"/>
        <v>6.9</v>
      </c>
    </row>
    <row r="16" spans="1:29" ht="42.75">
      <c r="A16" s="7">
        <v>12</v>
      </c>
      <c r="B16" s="8" t="s">
        <v>123</v>
      </c>
      <c r="C16" s="7" t="s">
        <v>124</v>
      </c>
      <c r="D16" s="7" t="s">
        <v>125</v>
      </c>
      <c r="E16" s="7" t="s">
        <v>126</v>
      </c>
      <c r="F16" s="7" t="s">
        <v>127</v>
      </c>
      <c r="G16" s="9">
        <v>1.33</v>
      </c>
      <c r="H16" s="9">
        <v>300</v>
      </c>
      <c r="I16" s="9">
        <v>399</v>
      </c>
      <c r="J16" s="7"/>
      <c r="K16" s="7" t="s">
        <v>119</v>
      </c>
      <c r="L16" s="7">
        <v>5</v>
      </c>
      <c r="M16" s="7">
        <v>6</v>
      </c>
      <c r="N16" s="7">
        <v>10</v>
      </c>
      <c r="O16" s="7">
        <v>6</v>
      </c>
      <c r="P16" s="7">
        <v>1</v>
      </c>
      <c r="Q16" s="7">
        <v>5</v>
      </c>
      <c r="R16" s="7">
        <v>9</v>
      </c>
      <c r="S16" s="7">
        <v>7</v>
      </c>
      <c r="T16" s="7">
        <v>8</v>
      </c>
      <c r="U16" s="7">
        <v>10</v>
      </c>
      <c r="V16" s="7">
        <v>4</v>
      </c>
      <c r="W16" s="7">
        <v>10</v>
      </c>
      <c r="X16" s="7">
        <v>6</v>
      </c>
      <c r="Y16" s="7">
        <v>9</v>
      </c>
      <c r="Z16" s="7" t="s">
        <v>128</v>
      </c>
      <c r="AA16" s="7" t="s">
        <v>129</v>
      </c>
      <c r="AB16" s="7" t="s">
        <v>54</v>
      </c>
      <c r="AC16">
        <f t="shared" si="0"/>
        <v>6.9</v>
      </c>
    </row>
    <row r="17" spans="1:29" ht="42.75">
      <c r="A17" s="7">
        <v>13</v>
      </c>
      <c r="B17" s="8" t="s">
        <v>130</v>
      </c>
      <c r="C17" s="7" t="s">
        <v>131</v>
      </c>
      <c r="D17" s="7" t="s">
        <v>132</v>
      </c>
      <c r="E17" s="7" t="s">
        <v>133</v>
      </c>
      <c r="F17" s="7" t="s">
        <v>74</v>
      </c>
      <c r="G17" s="9">
        <v>1.9670000000000001</v>
      </c>
      <c r="H17" s="9">
        <v>110</v>
      </c>
      <c r="I17" s="9">
        <v>216.4</v>
      </c>
      <c r="J17" s="7"/>
      <c r="K17" s="7" t="s">
        <v>119</v>
      </c>
      <c r="L17" s="7">
        <v>6</v>
      </c>
      <c r="M17" s="7">
        <v>8</v>
      </c>
      <c r="N17" s="7">
        <v>6</v>
      </c>
      <c r="O17" s="7">
        <v>7</v>
      </c>
      <c r="P17" s="7">
        <v>2</v>
      </c>
      <c r="Q17" s="7">
        <v>7</v>
      </c>
      <c r="R17" s="7">
        <v>8</v>
      </c>
      <c r="S17" s="7">
        <v>6</v>
      </c>
      <c r="T17" s="7">
        <v>6</v>
      </c>
      <c r="U17" s="7">
        <v>8</v>
      </c>
      <c r="V17" s="7">
        <v>6</v>
      </c>
      <c r="W17" s="7">
        <v>6</v>
      </c>
      <c r="X17" s="7">
        <v>7</v>
      </c>
      <c r="Y17" s="7">
        <v>6</v>
      </c>
      <c r="Z17" s="7" t="s">
        <v>134</v>
      </c>
      <c r="AA17" s="7" t="s">
        <v>135</v>
      </c>
      <c r="AB17" s="7" t="s">
        <v>122</v>
      </c>
      <c r="AC17">
        <f t="shared" si="0"/>
        <v>6.4</v>
      </c>
    </row>
    <row r="18" spans="1:29" ht="42.75">
      <c r="A18" s="7">
        <v>14</v>
      </c>
      <c r="B18" s="8" t="s">
        <v>136</v>
      </c>
      <c r="C18" s="7" t="s">
        <v>137</v>
      </c>
      <c r="D18" s="7" t="s">
        <v>138</v>
      </c>
      <c r="E18" s="7" t="s">
        <v>139</v>
      </c>
      <c r="F18" s="7" t="s">
        <v>49</v>
      </c>
      <c r="G18" s="9">
        <v>2.19</v>
      </c>
      <c r="H18" s="9">
        <v>85</v>
      </c>
      <c r="I18" s="9">
        <v>186.2</v>
      </c>
      <c r="J18" s="7"/>
      <c r="K18" s="7" t="s">
        <v>119</v>
      </c>
      <c r="L18" s="7">
        <v>8</v>
      </c>
      <c r="M18" s="7">
        <v>8</v>
      </c>
      <c r="N18" s="7">
        <v>6</v>
      </c>
      <c r="O18" s="7">
        <v>8</v>
      </c>
      <c r="P18" s="7">
        <v>3</v>
      </c>
      <c r="Q18" s="7">
        <v>8</v>
      </c>
      <c r="R18" s="7">
        <v>6</v>
      </c>
      <c r="S18" s="7">
        <v>6</v>
      </c>
      <c r="T18" s="7">
        <v>8</v>
      </c>
      <c r="U18" s="7">
        <v>7</v>
      </c>
      <c r="V18" s="7">
        <v>8</v>
      </c>
      <c r="W18" s="7">
        <v>6</v>
      </c>
      <c r="X18" s="7">
        <v>8</v>
      </c>
      <c r="Y18" s="7">
        <v>8</v>
      </c>
      <c r="Z18" s="7" t="s">
        <v>140</v>
      </c>
      <c r="AA18" s="7" t="s">
        <v>141</v>
      </c>
      <c r="AB18" s="7" t="s">
        <v>54</v>
      </c>
      <c r="AC18">
        <f t="shared" si="0"/>
        <v>7</v>
      </c>
    </row>
    <row r="19" spans="1:29" ht="42.75">
      <c r="A19" s="7">
        <v>15</v>
      </c>
      <c r="B19" s="8" t="s">
        <v>142</v>
      </c>
      <c r="C19" s="7" t="s">
        <v>143</v>
      </c>
      <c r="D19" s="7" t="s">
        <v>144</v>
      </c>
      <c r="E19" s="7" t="s">
        <v>145</v>
      </c>
      <c r="F19" s="7" t="s">
        <v>49</v>
      </c>
      <c r="G19" s="9">
        <v>1.66</v>
      </c>
      <c r="H19" s="9">
        <v>90</v>
      </c>
      <c r="I19" s="9">
        <v>149.4</v>
      </c>
      <c r="J19" s="7"/>
      <c r="K19" s="7" t="s">
        <v>119</v>
      </c>
      <c r="L19" s="7">
        <v>7</v>
      </c>
      <c r="M19" s="7">
        <v>8</v>
      </c>
      <c r="N19" s="7">
        <v>8</v>
      </c>
      <c r="O19" s="7">
        <v>7</v>
      </c>
      <c r="P19" s="7">
        <v>2</v>
      </c>
      <c r="Q19" s="7">
        <v>7</v>
      </c>
      <c r="R19" s="7">
        <v>7</v>
      </c>
      <c r="S19" s="7">
        <v>6</v>
      </c>
      <c r="T19" s="7">
        <v>9</v>
      </c>
      <c r="U19" s="7">
        <v>7</v>
      </c>
      <c r="V19" s="7">
        <v>7</v>
      </c>
      <c r="W19" s="7">
        <v>8</v>
      </c>
      <c r="X19" s="7">
        <v>7</v>
      </c>
      <c r="Y19" s="7">
        <v>9</v>
      </c>
      <c r="Z19" s="7" t="s">
        <v>146</v>
      </c>
      <c r="AA19" s="7" t="s">
        <v>147</v>
      </c>
      <c r="AB19" s="7" t="s">
        <v>148</v>
      </c>
      <c r="AC19">
        <f t="shared" si="0"/>
        <v>7.1</v>
      </c>
    </row>
    <row r="20" spans="1:29" ht="28.5">
      <c r="A20" s="7">
        <v>16</v>
      </c>
      <c r="B20" s="8" t="s">
        <v>149</v>
      </c>
      <c r="C20" s="7" t="s">
        <v>150</v>
      </c>
      <c r="D20" s="7" t="s">
        <v>151</v>
      </c>
      <c r="E20" s="7" t="s">
        <v>152</v>
      </c>
      <c r="F20" s="7" t="s">
        <v>59</v>
      </c>
      <c r="G20" s="9">
        <v>1.0149999999999999</v>
      </c>
      <c r="H20" s="9">
        <v>250</v>
      </c>
      <c r="I20" s="9">
        <v>253.8</v>
      </c>
      <c r="J20" s="7"/>
      <c r="K20" s="7" t="s">
        <v>119</v>
      </c>
      <c r="L20" s="7">
        <v>5</v>
      </c>
      <c r="M20" s="7">
        <v>6</v>
      </c>
      <c r="N20" s="7">
        <v>9</v>
      </c>
      <c r="O20" s="7">
        <v>7</v>
      </c>
      <c r="P20" s="7">
        <v>1</v>
      </c>
      <c r="Q20" s="7">
        <v>5</v>
      </c>
      <c r="R20" s="7">
        <v>8</v>
      </c>
      <c r="S20" s="7">
        <v>7</v>
      </c>
      <c r="T20" s="7">
        <v>7</v>
      </c>
      <c r="U20" s="7">
        <v>9</v>
      </c>
      <c r="V20" s="7">
        <v>5</v>
      </c>
      <c r="W20" s="7">
        <v>9</v>
      </c>
      <c r="X20" s="7">
        <v>7</v>
      </c>
      <c r="Y20" s="7">
        <v>8</v>
      </c>
      <c r="Z20" s="7" t="s">
        <v>153</v>
      </c>
      <c r="AA20" s="7" t="s">
        <v>154</v>
      </c>
      <c r="AB20" s="7" t="s">
        <v>54</v>
      </c>
      <c r="AC20">
        <f t="shared" si="0"/>
        <v>6.6</v>
      </c>
    </row>
    <row r="21" spans="1:29" ht="42.75">
      <c r="A21" s="7">
        <v>17</v>
      </c>
      <c r="B21" s="8" t="s">
        <v>155</v>
      </c>
      <c r="C21" s="7" t="s">
        <v>156</v>
      </c>
      <c r="D21" s="7" t="s">
        <v>151</v>
      </c>
      <c r="E21" s="7" t="s">
        <v>152</v>
      </c>
      <c r="F21" s="7" t="s">
        <v>59</v>
      </c>
      <c r="G21" s="9">
        <v>1.0149999999999999</v>
      </c>
      <c r="H21" s="9">
        <v>250</v>
      </c>
      <c r="I21" s="9">
        <v>253.8</v>
      </c>
      <c r="J21" s="7"/>
      <c r="K21" s="7" t="s">
        <v>119</v>
      </c>
      <c r="L21" s="7">
        <v>5</v>
      </c>
      <c r="M21" s="7">
        <v>6</v>
      </c>
      <c r="N21" s="7">
        <v>9</v>
      </c>
      <c r="O21" s="7">
        <v>7</v>
      </c>
      <c r="P21" s="7">
        <v>1</v>
      </c>
      <c r="Q21" s="7">
        <v>5</v>
      </c>
      <c r="R21" s="7">
        <v>8</v>
      </c>
      <c r="S21" s="7">
        <v>7</v>
      </c>
      <c r="T21" s="7">
        <v>7</v>
      </c>
      <c r="U21" s="7">
        <v>9</v>
      </c>
      <c r="V21" s="7">
        <v>5</v>
      </c>
      <c r="W21" s="7">
        <v>9</v>
      </c>
      <c r="X21" s="7">
        <v>7</v>
      </c>
      <c r="Y21" s="7">
        <v>8</v>
      </c>
      <c r="Z21" s="7" t="s">
        <v>157</v>
      </c>
      <c r="AA21" s="7" t="s">
        <v>158</v>
      </c>
      <c r="AB21" s="7" t="s">
        <v>54</v>
      </c>
      <c r="AC21">
        <f t="shared" si="0"/>
        <v>6.6</v>
      </c>
    </row>
    <row r="22" spans="1:29" ht="42.75">
      <c r="A22" s="7">
        <v>18</v>
      </c>
      <c r="B22" s="8" t="s">
        <v>159</v>
      </c>
      <c r="C22" s="7" t="s">
        <v>160</v>
      </c>
      <c r="D22" s="7" t="s">
        <v>161</v>
      </c>
      <c r="E22" s="7" t="s">
        <v>162</v>
      </c>
      <c r="F22" s="7" t="s">
        <v>74</v>
      </c>
      <c r="G22" s="9">
        <v>2.238</v>
      </c>
      <c r="H22" s="9">
        <v>95</v>
      </c>
      <c r="I22" s="9">
        <v>212.6</v>
      </c>
      <c r="J22" s="7"/>
      <c r="K22" s="7" t="s">
        <v>119</v>
      </c>
      <c r="L22" s="7">
        <v>9</v>
      </c>
      <c r="M22" s="7">
        <v>7</v>
      </c>
      <c r="N22" s="7">
        <v>6</v>
      </c>
      <c r="O22" s="7">
        <v>8</v>
      </c>
      <c r="P22" s="7">
        <v>10</v>
      </c>
      <c r="Q22" s="7">
        <v>10</v>
      </c>
      <c r="R22" s="7">
        <v>5</v>
      </c>
      <c r="S22" s="7">
        <v>6</v>
      </c>
      <c r="T22" s="7">
        <v>6</v>
      </c>
      <c r="U22" s="7">
        <v>9</v>
      </c>
      <c r="V22" s="7">
        <v>10</v>
      </c>
      <c r="W22" s="7">
        <v>5</v>
      </c>
      <c r="X22" s="7">
        <v>8</v>
      </c>
      <c r="Y22" s="7">
        <v>7</v>
      </c>
      <c r="Z22" s="7" t="s">
        <v>163</v>
      </c>
      <c r="AA22" s="7" t="s">
        <v>164</v>
      </c>
      <c r="AB22" s="7" t="s">
        <v>54</v>
      </c>
      <c r="AC22">
        <f t="shared" si="0"/>
        <v>7.6</v>
      </c>
    </row>
  </sheetData>
  <conditionalFormatting sqref="L5:Y2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workbookViewId="0"/>
  </sheetViews>
  <sheetFormatPr defaultRowHeight="14.25"/>
  <cols>
    <col min="1" max="1" width="12" customWidth="1"/>
    <col min="2" max="13" width="18" customWidth="1"/>
    <col min="14" max="16" width="32" customWidth="1"/>
  </cols>
  <sheetData>
    <row r="1" spans="1:16" ht="20.25">
      <c r="A1" s="1" t="s">
        <v>165</v>
      </c>
    </row>
    <row r="3" spans="1:16" ht="30">
      <c r="A3" s="6" t="s">
        <v>16</v>
      </c>
      <c r="B3" s="6" t="s">
        <v>18</v>
      </c>
      <c r="C3" s="6" t="s">
        <v>19</v>
      </c>
      <c r="D3" s="6" t="s">
        <v>21</v>
      </c>
      <c r="E3" s="6" t="s">
        <v>166</v>
      </c>
      <c r="F3" s="6" t="s">
        <v>167</v>
      </c>
      <c r="G3" s="6" t="s">
        <v>168</v>
      </c>
      <c r="H3" s="6" t="s">
        <v>169</v>
      </c>
      <c r="I3" s="6" t="s">
        <v>170</v>
      </c>
      <c r="J3" s="6" t="s">
        <v>171</v>
      </c>
      <c r="K3" s="6" t="s">
        <v>172</v>
      </c>
      <c r="L3" s="6" t="s">
        <v>173</v>
      </c>
      <c r="M3" s="6" t="s">
        <v>174</v>
      </c>
      <c r="N3" s="6" t="s">
        <v>175</v>
      </c>
      <c r="O3" s="6" t="s">
        <v>176</v>
      </c>
      <c r="P3" s="6" t="s">
        <v>177</v>
      </c>
    </row>
    <row r="4" spans="1:16" ht="42.75">
      <c r="A4" s="7">
        <v>1</v>
      </c>
      <c r="B4" s="7" t="s">
        <v>46</v>
      </c>
      <c r="C4" s="7" t="s">
        <v>47</v>
      </c>
      <c r="D4" s="7" t="s">
        <v>49</v>
      </c>
      <c r="E4" s="7" t="s">
        <v>178</v>
      </c>
      <c r="F4" s="7">
        <v>5</v>
      </c>
      <c r="G4" s="7">
        <v>8</v>
      </c>
      <c r="H4" s="7">
        <v>8</v>
      </c>
      <c r="I4" s="7">
        <v>7</v>
      </c>
      <c r="J4" s="7">
        <v>8</v>
      </c>
      <c r="K4" s="7">
        <v>8</v>
      </c>
      <c r="L4" s="7">
        <v>6</v>
      </c>
      <c r="M4" s="7">
        <v>8</v>
      </c>
      <c r="N4" s="7">
        <v>7</v>
      </c>
      <c r="O4" s="7" t="s">
        <v>179</v>
      </c>
      <c r="P4" s="7" t="s">
        <v>180</v>
      </c>
    </row>
    <row r="5" spans="1:16" ht="28.5">
      <c r="A5" s="7">
        <v>2</v>
      </c>
      <c r="B5" s="7" t="s">
        <v>56</v>
      </c>
      <c r="C5" s="7" t="s">
        <v>57</v>
      </c>
      <c r="D5" s="7" t="s">
        <v>59</v>
      </c>
      <c r="E5" s="7" t="s">
        <v>181</v>
      </c>
      <c r="F5" s="7">
        <v>9</v>
      </c>
      <c r="G5" s="7">
        <v>7</v>
      </c>
      <c r="H5" s="7">
        <v>6</v>
      </c>
      <c r="I5" s="7">
        <v>7</v>
      </c>
      <c r="J5" s="7">
        <v>9</v>
      </c>
      <c r="K5" s="7">
        <v>6</v>
      </c>
      <c r="L5" s="7">
        <v>8</v>
      </c>
      <c r="M5" s="7">
        <v>7</v>
      </c>
      <c r="N5" s="7">
        <v>7</v>
      </c>
      <c r="O5" s="7" t="s">
        <v>182</v>
      </c>
      <c r="P5" s="7" t="s">
        <v>183</v>
      </c>
    </row>
    <row r="6" spans="1:16" ht="28.5">
      <c r="A6" s="7">
        <v>3</v>
      </c>
      <c r="B6" s="7" t="s">
        <v>64</v>
      </c>
      <c r="C6" s="7" t="s">
        <v>65</v>
      </c>
      <c r="D6" s="7" t="s">
        <v>49</v>
      </c>
      <c r="E6" s="7" t="s">
        <v>178</v>
      </c>
      <c r="F6" s="7">
        <v>6</v>
      </c>
      <c r="G6" s="7">
        <v>8</v>
      </c>
      <c r="H6" s="7">
        <v>8</v>
      </c>
      <c r="I6" s="7">
        <v>6</v>
      </c>
      <c r="J6" s="7">
        <v>7</v>
      </c>
      <c r="K6" s="7">
        <v>8</v>
      </c>
      <c r="L6" s="7">
        <v>6</v>
      </c>
      <c r="M6" s="7">
        <v>8</v>
      </c>
      <c r="N6" s="7">
        <v>7</v>
      </c>
      <c r="O6" s="7" t="s">
        <v>179</v>
      </c>
      <c r="P6" s="7" t="s">
        <v>184</v>
      </c>
    </row>
    <row r="7" spans="1:16" ht="42.75">
      <c r="A7" s="7">
        <v>4</v>
      </c>
      <c r="B7" s="7" t="s">
        <v>71</v>
      </c>
      <c r="C7" s="7" t="s">
        <v>72</v>
      </c>
      <c r="D7" s="7" t="s">
        <v>74</v>
      </c>
      <c r="E7" s="7" t="s">
        <v>178</v>
      </c>
      <c r="F7" s="7">
        <v>5</v>
      </c>
      <c r="G7" s="7">
        <v>7</v>
      </c>
      <c r="H7" s="7">
        <v>7</v>
      </c>
      <c r="I7" s="7">
        <v>8</v>
      </c>
      <c r="J7" s="7">
        <v>9</v>
      </c>
      <c r="K7" s="7">
        <v>7</v>
      </c>
      <c r="L7" s="7">
        <v>5</v>
      </c>
      <c r="M7" s="7">
        <v>5</v>
      </c>
      <c r="N7" s="7">
        <v>5</v>
      </c>
      <c r="O7" s="7" t="s">
        <v>185</v>
      </c>
      <c r="P7" s="7" t="s">
        <v>186</v>
      </c>
    </row>
    <row r="8" spans="1:16" ht="42.75">
      <c r="A8" s="7">
        <v>5</v>
      </c>
      <c r="B8" s="7" t="s">
        <v>78</v>
      </c>
      <c r="C8" s="7" t="s">
        <v>79</v>
      </c>
      <c r="D8" s="7" t="s">
        <v>49</v>
      </c>
      <c r="E8" s="7" t="s">
        <v>178</v>
      </c>
      <c r="F8" s="7">
        <v>5</v>
      </c>
      <c r="G8" s="7">
        <v>8</v>
      </c>
      <c r="H8" s="7">
        <v>9</v>
      </c>
      <c r="I8" s="7">
        <v>7</v>
      </c>
      <c r="J8" s="7">
        <v>7</v>
      </c>
      <c r="K8" s="7">
        <v>9</v>
      </c>
      <c r="L8" s="7">
        <v>5</v>
      </c>
      <c r="M8" s="7">
        <v>9</v>
      </c>
      <c r="N8" s="7">
        <v>7</v>
      </c>
      <c r="O8" s="7" t="s">
        <v>179</v>
      </c>
      <c r="P8" s="7" t="s">
        <v>180</v>
      </c>
    </row>
    <row r="9" spans="1:16" ht="42.75">
      <c r="A9" s="7">
        <v>6</v>
      </c>
      <c r="B9" s="7" t="s">
        <v>84</v>
      </c>
      <c r="C9" s="7" t="s">
        <v>85</v>
      </c>
      <c r="D9" s="7" t="s">
        <v>74</v>
      </c>
      <c r="E9" s="7" t="s">
        <v>187</v>
      </c>
      <c r="F9" s="7">
        <v>7</v>
      </c>
      <c r="G9" s="7">
        <v>7</v>
      </c>
      <c r="H9" s="7">
        <v>8</v>
      </c>
      <c r="I9" s="7">
        <v>7</v>
      </c>
      <c r="J9" s="7">
        <v>8</v>
      </c>
      <c r="K9" s="7">
        <v>8</v>
      </c>
      <c r="L9" s="7">
        <v>7</v>
      </c>
      <c r="M9" s="7">
        <v>5</v>
      </c>
      <c r="N9" s="7">
        <v>6</v>
      </c>
      <c r="O9" s="7" t="s">
        <v>185</v>
      </c>
      <c r="P9" s="7" t="s">
        <v>188</v>
      </c>
    </row>
    <row r="10" spans="1:16" ht="28.5">
      <c r="A10" s="7">
        <v>7</v>
      </c>
      <c r="B10" s="7" t="s">
        <v>91</v>
      </c>
      <c r="C10" s="7" t="s">
        <v>92</v>
      </c>
      <c r="D10" s="7" t="s">
        <v>93</v>
      </c>
      <c r="E10" s="7" t="s">
        <v>189</v>
      </c>
      <c r="F10" s="7">
        <v>10</v>
      </c>
      <c r="G10" s="7">
        <v>5</v>
      </c>
      <c r="H10" s="7">
        <v>5</v>
      </c>
      <c r="I10" s="7">
        <v>7</v>
      </c>
      <c r="J10" s="7">
        <v>10</v>
      </c>
      <c r="K10" s="7">
        <v>5</v>
      </c>
      <c r="L10" s="7">
        <v>9</v>
      </c>
      <c r="M10" s="7">
        <v>7</v>
      </c>
      <c r="N10" s="7">
        <v>8</v>
      </c>
      <c r="O10" s="7" t="s">
        <v>182</v>
      </c>
      <c r="P10" s="7" t="s">
        <v>183</v>
      </c>
    </row>
    <row r="11" spans="1:16" ht="42.75">
      <c r="A11" s="7">
        <v>8</v>
      </c>
      <c r="B11" s="7" t="s">
        <v>98</v>
      </c>
      <c r="C11" s="7" t="s">
        <v>99</v>
      </c>
      <c r="D11" s="7" t="s">
        <v>49</v>
      </c>
      <c r="E11" s="7" t="s">
        <v>178</v>
      </c>
      <c r="F11" s="7">
        <v>5</v>
      </c>
      <c r="G11" s="7">
        <v>9</v>
      </c>
      <c r="H11" s="7">
        <v>9</v>
      </c>
      <c r="I11" s="7">
        <v>8</v>
      </c>
      <c r="J11" s="7">
        <v>8</v>
      </c>
      <c r="K11" s="7">
        <v>9</v>
      </c>
      <c r="L11" s="7">
        <v>5</v>
      </c>
      <c r="M11" s="7">
        <v>10</v>
      </c>
      <c r="N11" s="7">
        <v>8</v>
      </c>
      <c r="O11" s="7" t="s">
        <v>179</v>
      </c>
      <c r="P11" s="7" t="s">
        <v>180</v>
      </c>
    </row>
    <row r="12" spans="1:16" ht="57">
      <c r="A12" s="7">
        <v>9</v>
      </c>
      <c r="B12" s="7" t="s">
        <v>104</v>
      </c>
      <c r="C12" s="7" t="s">
        <v>105</v>
      </c>
      <c r="D12" s="7" t="s">
        <v>59</v>
      </c>
      <c r="E12" s="7" t="s">
        <v>181</v>
      </c>
      <c r="F12" s="7">
        <v>9</v>
      </c>
      <c r="G12" s="7">
        <v>7</v>
      </c>
      <c r="H12" s="7">
        <v>6</v>
      </c>
      <c r="I12" s="7">
        <v>8</v>
      </c>
      <c r="J12" s="7">
        <v>9</v>
      </c>
      <c r="K12" s="7">
        <v>6</v>
      </c>
      <c r="L12" s="7">
        <v>8</v>
      </c>
      <c r="M12" s="7">
        <v>8</v>
      </c>
      <c r="N12" s="7">
        <v>8</v>
      </c>
      <c r="O12" s="7" t="s">
        <v>182</v>
      </c>
      <c r="P12" s="7" t="s">
        <v>190</v>
      </c>
    </row>
    <row r="13" spans="1:16" ht="28.5">
      <c r="A13" s="7">
        <v>10</v>
      </c>
      <c r="B13" s="7" t="s">
        <v>110</v>
      </c>
      <c r="C13" s="7" t="s">
        <v>111</v>
      </c>
      <c r="D13" s="7" t="s">
        <v>74</v>
      </c>
      <c r="E13" s="7" t="s">
        <v>178</v>
      </c>
      <c r="F13" s="7">
        <v>9</v>
      </c>
      <c r="G13" s="7">
        <v>7</v>
      </c>
      <c r="H13" s="7">
        <v>8</v>
      </c>
      <c r="I13" s="7">
        <v>7</v>
      </c>
      <c r="J13" s="7">
        <v>8</v>
      </c>
      <c r="K13" s="7">
        <v>8</v>
      </c>
      <c r="L13" s="7">
        <v>9</v>
      </c>
      <c r="M13" s="7">
        <v>5</v>
      </c>
      <c r="N13" s="7">
        <v>7</v>
      </c>
      <c r="O13" s="7" t="s">
        <v>185</v>
      </c>
      <c r="P13" s="7" t="s">
        <v>191</v>
      </c>
    </row>
    <row r="14" spans="1:16" ht="28.5">
      <c r="A14" s="7">
        <v>11</v>
      </c>
      <c r="B14" s="7" t="s">
        <v>116</v>
      </c>
      <c r="C14" s="7" t="s">
        <v>117</v>
      </c>
      <c r="D14" s="7" t="s">
        <v>74</v>
      </c>
      <c r="E14" s="7" t="s">
        <v>178</v>
      </c>
      <c r="F14" s="7">
        <v>5</v>
      </c>
      <c r="G14" s="7">
        <v>8</v>
      </c>
      <c r="H14" s="7">
        <v>7</v>
      </c>
      <c r="I14" s="7">
        <v>7</v>
      </c>
      <c r="J14" s="7">
        <v>9</v>
      </c>
      <c r="K14" s="7">
        <v>7</v>
      </c>
      <c r="L14" s="7">
        <v>5</v>
      </c>
      <c r="M14" s="7">
        <v>5</v>
      </c>
      <c r="N14" s="7">
        <v>5</v>
      </c>
      <c r="O14" s="7" t="s">
        <v>185</v>
      </c>
      <c r="P14" s="7" t="s">
        <v>192</v>
      </c>
    </row>
    <row r="15" spans="1:16" ht="57">
      <c r="A15" s="7">
        <v>12</v>
      </c>
      <c r="B15" s="7" t="s">
        <v>124</v>
      </c>
      <c r="C15" s="7" t="s">
        <v>125</v>
      </c>
      <c r="D15" s="7" t="s">
        <v>127</v>
      </c>
      <c r="E15" s="7" t="s">
        <v>189</v>
      </c>
      <c r="F15" s="7">
        <v>10</v>
      </c>
      <c r="G15" s="7">
        <v>6</v>
      </c>
      <c r="H15" s="7">
        <v>6</v>
      </c>
      <c r="I15" s="7">
        <v>8</v>
      </c>
      <c r="J15" s="7">
        <v>10</v>
      </c>
      <c r="K15" s="7">
        <v>6</v>
      </c>
      <c r="L15" s="7">
        <v>9</v>
      </c>
      <c r="M15" s="7">
        <v>8</v>
      </c>
      <c r="N15" s="7">
        <v>8</v>
      </c>
      <c r="O15" s="7" t="s">
        <v>182</v>
      </c>
      <c r="P15" s="7" t="s">
        <v>190</v>
      </c>
    </row>
    <row r="16" spans="1:16" ht="42.75">
      <c r="A16" s="7">
        <v>13</v>
      </c>
      <c r="B16" s="7" t="s">
        <v>131</v>
      </c>
      <c r="C16" s="7" t="s">
        <v>132</v>
      </c>
      <c r="D16" s="7" t="s">
        <v>74</v>
      </c>
      <c r="E16" s="7" t="s">
        <v>187</v>
      </c>
      <c r="F16" s="7">
        <v>6</v>
      </c>
      <c r="G16" s="7">
        <v>7</v>
      </c>
      <c r="H16" s="7">
        <v>8</v>
      </c>
      <c r="I16" s="7">
        <v>7</v>
      </c>
      <c r="J16" s="7">
        <v>8</v>
      </c>
      <c r="K16" s="7">
        <v>8</v>
      </c>
      <c r="L16" s="7">
        <v>7</v>
      </c>
      <c r="M16" s="7">
        <v>6</v>
      </c>
      <c r="N16" s="7">
        <v>7</v>
      </c>
      <c r="O16" s="7" t="s">
        <v>185</v>
      </c>
      <c r="P16" s="7" t="s">
        <v>188</v>
      </c>
    </row>
    <row r="17" spans="1:16" ht="42.75">
      <c r="A17" s="7">
        <v>14</v>
      </c>
      <c r="B17" s="7" t="s">
        <v>137</v>
      </c>
      <c r="C17" s="7" t="s">
        <v>138</v>
      </c>
      <c r="D17" s="7" t="s">
        <v>49</v>
      </c>
      <c r="E17" s="7" t="s">
        <v>178</v>
      </c>
      <c r="F17" s="7">
        <v>6</v>
      </c>
      <c r="G17" s="7">
        <v>8</v>
      </c>
      <c r="H17" s="7">
        <v>8</v>
      </c>
      <c r="I17" s="7">
        <v>6</v>
      </c>
      <c r="J17" s="7">
        <v>7</v>
      </c>
      <c r="K17" s="7">
        <v>8</v>
      </c>
      <c r="L17" s="7">
        <v>6</v>
      </c>
      <c r="M17" s="7">
        <v>8</v>
      </c>
      <c r="N17" s="7">
        <v>7</v>
      </c>
      <c r="O17" s="7" t="s">
        <v>179</v>
      </c>
      <c r="P17" s="7" t="s">
        <v>184</v>
      </c>
    </row>
    <row r="18" spans="1:16" ht="42.75">
      <c r="A18" s="7">
        <v>15</v>
      </c>
      <c r="B18" s="7" t="s">
        <v>143</v>
      </c>
      <c r="C18" s="7" t="s">
        <v>144</v>
      </c>
      <c r="D18" s="7" t="s">
        <v>49</v>
      </c>
      <c r="E18" s="7" t="s">
        <v>178</v>
      </c>
      <c r="F18" s="7">
        <v>8</v>
      </c>
      <c r="G18" s="7">
        <v>7</v>
      </c>
      <c r="H18" s="7">
        <v>8</v>
      </c>
      <c r="I18" s="7">
        <v>6</v>
      </c>
      <c r="J18" s="7">
        <v>7</v>
      </c>
      <c r="K18" s="7">
        <v>8</v>
      </c>
      <c r="L18" s="7">
        <v>7</v>
      </c>
      <c r="M18" s="7">
        <v>9</v>
      </c>
      <c r="N18" s="7">
        <v>8</v>
      </c>
      <c r="O18" s="7" t="s">
        <v>179</v>
      </c>
      <c r="P18" s="7" t="s">
        <v>193</v>
      </c>
    </row>
    <row r="19" spans="1:16" ht="42.75">
      <c r="A19" s="7">
        <v>16</v>
      </c>
      <c r="B19" s="7" t="s">
        <v>150</v>
      </c>
      <c r="C19" s="7" t="s">
        <v>151</v>
      </c>
      <c r="D19" s="7" t="s">
        <v>59</v>
      </c>
      <c r="E19" s="7" t="s">
        <v>181</v>
      </c>
      <c r="F19" s="7">
        <v>9</v>
      </c>
      <c r="G19" s="7">
        <v>7</v>
      </c>
      <c r="H19" s="7">
        <v>6</v>
      </c>
      <c r="I19" s="7">
        <v>8</v>
      </c>
      <c r="J19" s="7">
        <v>9</v>
      </c>
      <c r="K19" s="7">
        <v>6</v>
      </c>
      <c r="L19" s="7">
        <v>8</v>
      </c>
      <c r="M19" s="7">
        <v>7</v>
      </c>
      <c r="N19" s="7">
        <v>7</v>
      </c>
      <c r="O19" s="7" t="s">
        <v>182</v>
      </c>
      <c r="P19" s="7" t="s">
        <v>194</v>
      </c>
    </row>
    <row r="20" spans="1:16" ht="42.75">
      <c r="A20" s="7">
        <v>17</v>
      </c>
      <c r="B20" s="7" t="s">
        <v>156</v>
      </c>
      <c r="C20" s="7" t="s">
        <v>151</v>
      </c>
      <c r="D20" s="7" t="s">
        <v>59</v>
      </c>
      <c r="E20" s="7" t="s">
        <v>181</v>
      </c>
      <c r="F20" s="7">
        <v>9</v>
      </c>
      <c r="G20" s="7">
        <v>7</v>
      </c>
      <c r="H20" s="7">
        <v>6</v>
      </c>
      <c r="I20" s="7">
        <v>8</v>
      </c>
      <c r="J20" s="7">
        <v>9</v>
      </c>
      <c r="K20" s="7">
        <v>6</v>
      </c>
      <c r="L20" s="7">
        <v>8</v>
      </c>
      <c r="M20" s="7">
        <v>7</v>
      </c>
      <c r="N20" s="7">
        <v>7</v>
      </c>
      <c r="O20" s="7" t="s">
        <v>182</v>
      </c>
      <c r="P20" s="7" t="s">
        <v>194</v>
      </c>
    </row>
    <row r="21" spans="1:16" ht="42.75">
      <c r="A21" s="7">
        <v>18</v>
      </c>
      <c r="B21" s="7" t="s">
        <v>160</v>
      </c>
      <c r="C21" s="7" t="s">
        <v>161</v>
      </c>
      <c r="D21" s="7" t="s">
        <v>74</v>
      </c>
      <c r="E21" s="7" t="s">
        <v>178</v>
      </c>
      <c r="F21" s="7">
        <v>6</v>
      </c>
      <c r="G21" s="7">
        <v>8</v>
      </c>
      <c r="H21" s="7">
        <v>7</v>
      </c>
      <c r="I21" s="7">
        <v>7</v>
      </c>
      <c r="J21" s="7">
        <v>9</v>
      </c>
      <c r="K21" s="7">
        <v>7</v>
      </c>
      <c r="L21" s="7">
        <v>5</v>
      </c>
      <c r="M21" s="7">
        <v>6</v>
      </c>
      <c r="N21" s="7">
        <v>5</v>
      </c>
      <c r="O21" s="7" t="s">
        <v>185</v>
      </c>
      <c r="P21" s="7" t="s">
        <v>192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7"/>
  <sheetViews>
    <sheetView workbookViewId="0"/>
  </sheetViews>
  <sheetFormatPr defaultRowHeight="14.25"/>
  <cols>
    <col min="1" max="2" width="18" customWidth="1"/>
    <col min="3" max="3" width="12" customWidth="1"/>
    <col min="4" max="23" width="18" customWidth="1"/>
    <col min="24" max="25" width="32" customWidth="1"/>
  </cols>
  <sheetData>
    <row r="1" spans="1:25" ht="20.25">
      <c r="A1" s="1" t="s">
        <v>195</v>
      </c>
    </row>
    <row r="2" spans="1:25">
      <c r="A2" s="4" t="s">
        <v>196</v>
      </c>
    </row>
    <row r="4" spans="1:25" ht="15">
      <c r="A4" s="6" t="s">
        <v>197</v>
      </c>
      <c r="B4" s="6" t="s">
        <v>198</v>
      </c>
      <c r="C4" s="6" t="s">
        <v>199</v>
      </c>
      <c r="D4" s="6" t="s">
        <v>200</v>
      </c>
      <c r="E4" s="6" t="s">
        <v>201</v>
      </c>
      <c r="F4" s="6" t="s">
        <v>202</v>
      </c>
      <c r="G4" s="6" t="s">
        <v>26</v>
      </c>
      <c r="H4" s="6" t="s">
        <v>203</v>
      </c>
      <c r="I4" s="6" t="s">
        <v>204</v>
      </c>
      <c r="J4" s="6" t="s">
        <v>205</v>
      </c>
      <c r="K4" s="6" t="s">
        <v>206</v>
      </c>
      <c r="L4" s="6" t="s">
        <v>207</v>
      </c>
      <c r="M4" s="6" t="s">
        <v>208</v>
      </c>
      <c r="N4" s="6" t="s">
        <v>209</v>
      </c>
      <c r="O4" s="6" t="s">
        <v>210</v>
      </c>
      <c r="P4" s="6" t="s">
        <v>211</v>
      </c>
      <c r="Q4" s="6" t="s">
        <v>212</v>
      </c>
      <c r="R4" s="6" t="s">
        <v>213</v>
      </c>
      <c r="S4" s="6" t="s">
        <v>214</v>
      </c>
      <c r="T4" s="6" t="s">
        <v>215</v>
      </c>
      <c r="U4" s="6" t="s">
        <v>216</v>
      </c>
      <c r="V4" s="6" t="s">
        <v>217</v>
      </c>
      <c r="W4" s="6" t="s">
        <v>218</v>
      </c>
      <c r="X4" s="6" t="s">
        <v>219</v>
      </c>
      <c r="Y4" s="6" t="s">
        <v>220</v>
      </c>
    </row>
    <row r="5" spans="1:25" ht="28.5">
      <c r="A5" s="7" t="s">
        <v>50</v>
      </c>
      <c r="B5" s="7" t="s">
        <v>221</v>
      </c>
      <c r="C5" s="7">
        <v>29</v>
      </c>
      <c r="D5" s="7" t="s">
        <v>222</v>
      </c>
      <c r="E5" s="7">
        <v>10</v>
      </c>
      <c r="F5" s="7" t="s">
        <v>223</v>
      </c>
      <c r="G5" s="7" t="s">
        <v>224</v>
      </c>
      <c r="H5" s="7" t="s">
        <v>225</v>
      </c>
      <c r="I5" s="7">
        <v>9</v>
      </c>
      <c r="J5" s="7">
        <v>10</v>
      </c>
      <c r="K5" s="7">
        <v>10</v>
      </c>
      <c r="L5" s="7">
        <v>10</v>
      </c>
      <c r="M5" s="7">
        <v>10</v>
      </c>
      <c r="N5" s="7">
        <v>10</v>
      </c>
      <c r="O5" s="7">
        <v>10</v>
      </c>
      <c r="P5" s="7">
        <v>9</v>
      </c>
      <c r="Q5" s="7">
        <v>9</v>
      </c>
      <c r="R5" s="7">
        <v>10</v>
      </c>
      <c r="S5" s="7">
        <v>10</v>
      </c>
      <c r="T5" s="7">
        <v>9</v>
      </c>
      <c r="U5" s="7">
        <f t="shared" ref="U5:U37" si="0">ROUND(AVERAGE(I5:T5)*10,0)</f>
        <v>97</v>
      </c>
      <c r="V5" s="7">
        <v>97</v>
      </c>
      <c r="W5" s="7">
        <v>9500000</v>
      </c>
      <c r="X5" s="7" t="s">
        <v>226</v>
      </c>
      <c r="Y5" s="7" t="s">
        <v>227</v>
      </c>
    </row>
    <row r="6" spans="1:25" ht="28.5">
      <c r="A6" s="7" t="s">
        <v>228</v>
      </c>
      <c r="B6" s="7" t="s">
        <v>229</v>
      </c>
      <c r="C6" s="7">
        <v>24</v>
      </c>
      <c r="D6" s="7" t="s">
        <v>230</v>
      </c>
      <c r="E6" s="7">
        <v>12</v>
      </c>
      <c r="F6" s="7" t="s">
        <v>231</v>
      </c>
      <c r="G6" s="7" t="s">
        <v>224</v>
      </c>
      <c r="H6" s="7" t="s">
        <v>225</v>
      </c>
      <c r="I6" s="7">
        <v>9</v>
      </c>
      <c r="J6" s="7">
        <v>8</v>
      </c>
      <c r="K6" s="7">
        <v>9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>
        <v>8</v>
      </c>
      <c r="S6" s="7">
        <v>8</v>
      </c>
      <c r="T6" s="7">
        <v>7</v>
      </c>
      <c r="U6" s="7">
        <f t="shared" si="0"/>
        <v>81</v>
      </c>
      <c r="V6" s="7">
        <v>91</v>
      </c>
      <c r="W6" s="7">
        <v>4500000</v>
      </c>
      <c r="X6" s="7" t="s">
        <v>232</v>
      </c>
      <c r="Y6" s="7" t="s">
        <v>227</v>
      </c>
    </row>
    <row r="7" spans="1:25" ht="28.5">
      <c r="A7" s="7" t="s">
        <v>67</v>
      </c>
      <c r="B7" s="7" t="s">
        <v>229</v>
      </c>
      <c r="C7" s="7">
        <v>27</v>
      </c>
      <c r="D7" s="7" t="s">
        <v>233</v>
      </c>
      <c r="E7" s="7">
        <v>27</v>
      </c>
      <c r="F7" s="7" t="s">
        <v>223</v>
      </c>
      <c r="G7" s="7" t="s">
        <v>224</v>
      </c>
      <c r="H7" s="7" t="s">
        <v>225</v>
      </c>
      <c r="I7" s="7">
        <v>8</v>
      </c>
      <c r="J7" s="7">
        <v>9</v>
      </c>
      <c r="K7" s="7">
        <v>9</v>
      </c>
      <c r="L7" s="7">
        <v>9</v>
      </c>
      <c r="M7" s="7">
        <v>9</v>
      </c>
      <c r="N7" s="7">
        <v>8</v>
      </c>
      <c r="O7" s="7">
        <v>8</v>
      </c>
      <c r="P7" s="7">
        <v>9</v>
      </c>
      <c r="Q7" s="7">
        <v>8</v>
      </c>
      <c r="R7" s="7">
        <v>8</v>
      </c>
      <c r="S7" s="7">
        <v>8</v>
      </c>
      <c r="T7" s="7">
        <v>7</v>
      </c>
      <c r="U7" s="7">
        <f t="shared" si="0"/>
        <v>83</v>
      </c>
      <c r="V7" s="7">
        <v>92</v>
      </c>
      <c r="W7" s="7">
        <v>5500000</v>
      </c>
      <c r="X7" s="7" t="s">
        <v>234</v>
      </c>
      <c r="Y7" s="7" t="s">
        <v>227</v>
      </c>
    </row>
    <row r="8" spans="1:25" ht="28.5">
      <c r="A8" s="7" t="s">
        <v>87</v>
      </c>
      <c r="B8" s="7" t="s">
        <v>235</v>
      </c>
      <c r="C8" s="7">
        <v>24</v>
      </c>
      <c r="D8" s="7" t="s">
        <v>236</v>
      </c>
      <c r="E8" s="7">
        <v>7</v>
      </c>
      <c r="F8" s="7" t="s">
        <v>231</v>
      </c>
      <c r="G8" s="7" t="s">
        <v>224</v>
      </c>
      <c r="H8" s="7" t="s">
        <v>225</v>
      </c>
      <c r="I8" s="7">
        <v>7</v>
      </c>
      <c r="J8" s="7">
        <v>9</v>
      </c>
      <c r="K8" s="7">
        <v>9</v>
      </c>
      <c r="L8" s="7">
        <v>9</v>
      </c>
      <c r="M8" s="7">
        <v>9</v>
      </c>
      <c r="N8" s="7">
        <v>8</v>
      </c>
      <c r="O8" s="7">
        <v>8</v>
      </c>
      <c r="P8" s="7">
        <v>8</v>
      </c>
      <c r="Q8" s="7">
        <v>8</v>
      </c>
      <c r="R8" s="7">
        <v>8</v>
      </c>
      <c r="S8" s="7">
        <v>8</v>
      </c>
      <c r="T8" s="7">
        <v>8</v>
      </c>
      <c r="U8" s="7">
        <f t="shared" si="0"/>
        <v>83</v>
      </c>
      <c r="V8" s="7">
        <v>93</v>
      </c>
      <c r="W8" s="7">
        <v>6000000</v>
      </c>
      <c r="X8" s="7" t="s">
        <v>237</v>
      </c>
      <c r="Y8" s="7" t="s">
        <v>227</v>
      </c>
    </row>
    <row r="9" spans="1:25" ht="28.5">
      <c r="A9" s="7" t="s">
        <v>238</v>
      </c>
      <c r="B9" s="7" t="s">
        <v>239</v>
      </c>
      <c r="C9" s="7">
        <v>27</v>
      </c>
      <c r="D9" s="7" t="s">
        <v>236</v>
      </c>
      <c r="E9" s="7">
        <v>5</v>
      </c>
      <c r="F9" s="7" t="s">
        <v>231</v>
      </c>
      <c r="G9" s="7" t="s">
        <v>224</v>
      </c>
      <c r="H9" s="7" t="s">
        <v>225</v>
      </c>
      <c r="I9" s="7">
        <v>8</v>
      </c>
      <c r="J9" s="7">
        <v>9</v>
      </c>
      <c r="K9" s="7">
        <v>9</v>
      </c>
      <c r="L9" s="7">
        <v>9</v>
      </c>
      <c r="M9" s="7">
        <v>9</v>
      </c>
      <c r="N9" s="7">
        <v>8</v>
      </c>
      <c r="O9" s="7">
        <v>8</v>
      </c>
      <c r="P9" s="7">
        <v>10</v>
      </c>
      <c r="Q9" s="7">
        <v>7</v>
      </c>
      <c r="R9" s="7">
        <v>8</v>
      </c>
      <c r="S9" s="7">
        <v>9</v>
      </c>
      <c r="T9" s="7">
        <v>8</v>
      </c>
      <c r="U9" s="7">
        <f t="shared" si="0"/>
        <v>85</v>
      </c>
      <c r="V9" s="7">
        <v>94</v>
      </c>
      <c r="W9" s="7">
        <v>7000000</v>
      </c>
      <c r="X9" s="7" t="s">
        <v>240</v>
      </c>
      <c r="Y9" s="7" t="s">
        <v>227</v>
      </c>
    </row>
    <row r="10" spans="1:25" ht="28.5">
      <c r="A10" s="7" t="s">
        <v>94</v>
      </c>
      <c r="B10" s="7" t="s">
        <v>241</v>
      </c>
      <c r="C10" s="7">
        <v>34</v>
      </c>
      <c r="D10" s="7" t="s">
        <v>242</v>
      </c>
      <c r="E10" s="7">
        <v>60</v>
      </c>
      <c r="F10" s="7" t="s">
        <v>223</v>
      </c>
      <c r="G10" s="7" t="s">
        <v>224</v>
      </c>
      <c r="H10" s="7" t="s">
        <v>225</v>
      </c>
      <c r="I10" s="7">
        <v>9</v>
      </c>
      <c r="J10" s="7">
        <v>8</v>
      </c>
      <c r="K10" s="7">
        <v>9</v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>
        <v>8</v>
      </c>
      <c r="R10" s="7">
        <v>8</v>
      </c>
      <c r="S10" s="7">
        <v>9</v>
      </c>
      <c r="T10" s="7">
        <v>7</v>
      </c>
      <c r="U10" s="7">
        <f t="shared" si="0"/>
        <v>82</v>
      </c>
      <c r="V10" s="7">
        <v>89</v>
      </c>
      <c r="W10" s="7">
        <v>3500000</v>
      </c>
      <c r="X10" s="7" t="s">
        <v>243</v>
      </c>
      <c r="Y10" s="7" t="s">
        <v>227</v>
      </c>
    </row>
    <row r="11" spans="1:25" ht="28.5">
      <c r="A11" s="7" t="s">
        <v>244</v>
      </c>
      <c r="B11" s="7" t="s">
        <v>245</v>
      </c>
      <c r="C11" s="7">
        <v>33</v>
      </c>
      <c r="D11" s="7" t="s">
        <v>230</v>
      </c>
      <c r="E11" s="7">
        <v>3</v>
      </c>
      <c r="F11" s="7" t="s">
        <v>231</v>
      </c>
      <c r="G11" s="7" t="s">
        <v>224</v>
      </c>
      <c r="H11" s="7" t="s">
        <v>225</v>
      </c>
      <c r="I11" s="7">
        <v>9</v>
      </c>
      <c r="J11" s="7">
        <v>9</v>
      </c>
      <c r="K11" s="7">
        <v>9</v>
      </c>
      <c r="L11" s="7">
        <v>9</v>
      </c>
      <c r="M11" s="7">
        <v>9</v>
      </c>
      <c r="N11" s="7">
        <v>8</v>
      </c>
      <c r="O11" s="7">
        <v>8</v>
      </c>
      <c r="P11" s="7">
        <v>8</v>
      </c>
      <c r="Q11" s="7">
        <v>8</v>
      </c>
      <c r="R11" s="7">
        <v>8</v>
      </c>
      <c r="S11" s="7">
        <v>8</v>
      </c>
      <c r="T11" s="7">
        <v>7</v>
      </c>
      <c r="U11" s="7">
        <f t="shared" si="0"/>
        <v>83</v>
      </c>
      <c r="V11" s="7">
        <v>91</v>
      </c>
      <c r="W11" s="7">
        <v>5000000</v>
      </c>
      <c r="X11" s="7" t="s">
        <v>246</v>
      </c>
      <c r="Y11" s="7" t="s">
        <v>227</v>
      </c>
    </row>
    <row r="12" spans="1:25" ht="28.5">
      <c r="A12" s="7" t="s">
        <v>60</v>
      </c>
      <c r="B12" s="7" t="s">
        <v>229</v>
      </c>
      <c r="C12" s="7">
        <v>35</v>
      </c>
      <c r="D12" s="7" t="s">
        <v>230</v>
      </c>
      <c r="E12" s="7">
        <v>2</v>
      </c>
      <c r="F12" s="7" t="s">
        <v>231</v>
      </c>
      <c r="G12" s="7" t="s">
        <v>224</v>
      </c>
      <c r="H12" s="7" t="s">
        <v>225</v>
      </c>
      <c r="I12" s="7">
        <v>10</v>
      </c>
      <c r="J12" s="7">
        <v>8</v>
      </c>
      <c r="K12" s="7">
        <v>9</v>
      </c>
      <c r="L12" s="7">
        <v>9</v>
      </c>
      <c r="M12" s="7">
        <v>9</v>
      </c>
      <c r="N12" s="7">
        <v>8</v>
      </c>
      <c r="O12" s="7">
        <v>8</v>
      </c>
      <c r="P12" s="7">
        <v>9</v>
      </c>
      <c r="Q12" s="7">
        <v>8</v>
      </c>
      <c r="R12" s="7">
        <v>8</v>
      </c>
      <c r="S12" s="7">
        <v>8</v>
      </c>
      <c r="T12" s="7">
        <v>7</v>
      </c>
      <c r="U12" s="7">
        <f t="shared" si="0"/>
        <v>84</v>
      </c>
      <c r="V12" s="7">
        <v>91</v>
      </c>
      <c r="W12" s="7">
        <v>5500000</v>
      </c>
      <c r="X12" s="7" t="s">
        <v>247</v>
      </c>
      <c r="Y12" s="7" t="s">
        <v>227</v>
      </c>
    </row>
    <row r="13" spans="1:25">
      <c r="A13" s="7" t="s">
        <v>248</v>
      </c>
      <c r="B13" s="7" t="s">
        <v>241</v>
      </c>
      <c r="C13" s="7">
        <v>35</v>
      </c>
      <c r="D13" s="7" t="s">
        <v>233</v>
      </c>
      <c r="E13" s="7">
        <v>28</v>
      </c>
      <c r="F13" s="7" t="s">
        <v>223</v>
      </c>
      <c r="G13" s="7" t="s">
        <v>224</v>
      </c>
      <c r="H13" s="7" t="s">
        <v>225</v>
      </c>
      <c r="I13" s="7">
        <v>8</v>
      </c>
      <c r="J13" s="7">
        <v>8</v>
      </c>
      <c r="K13" s="7">
        <v>8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>
        <v>9</v>
      </c>
      <c r="R13" s="7">
        <v>8</v>
      </c>
      <c r="S13" s="7">
        <v>7</v>
      </c>
      <c r="T13" s="7">
        <v>7</v>
      </c>
      <c r="U13" s="7">
        <f t="shared" si="0"/>
        <v>79</v>
      </c>
      <c r="V13" s="7">
        <v>86</v>
      </c>
      <c r="W13" s="7">
        <v>3500000</v>
      </c>
      <c r="X13" s="7" t="s">
        <v>249</v>
      </c>
      <c r="Y13" s="7" t="s">
        <v>227</v>
      </c>
    </row>
    <row r="14" spans="1:25" ht="28.5">
      <c r="A14" s="7" t="s">
        <v>250</v>
      </c>
      <c r="B14" s="7" t="s">
        <v>245</v>
      </c>
      <c r="C14" s="7">
        <v>45</v>
      </c>
      <c r="D14" s="7" t="s">
        <v>222</v>
      </c>
      <c r="E14" s="7">
        <v>9</v>
      </c>
      <c r="F14" s="7" t="s">
        <v>223</v>
      </c>
      <c r="G14" s="7" t="s">
        <v>224</v>
      </c>
      <c r="H14" s="7" t="s">
        <v>225</v>
      </c>
      <c r="I14" s="7">
        <v>9</v>
      </c>
      <c r="J14" s="7">
        <v>9</v>
      </c>
      <c r="K14" s="7">
        <v>8</v>
      </c>
      <c r="L14" s="7">
        <v>9</v>
      </c>
      <c r="M14" s="7">
        <v>10</v>
      </c>
      <c r="N14" s="7">
        <v>10</v>
      </c>
      <c r="O14" s="7">
        <v>10</v>
      </c>
      <c r="P14" s="7">
        <v>8</v>
      </c>
      <c r="Q14" s="7">
        <v>10</v>
      </c>
      <c r="R14" s="7">
        <v>10</v>
      </c>
      <c r="S14" s="7">
        <v>9</v>
      </c>
      <c r="T14" s="7">
        <v>9</v>
      </c>
      <c r="U14" s="7">
        <f t="shared" si="0"/>
        <v>93</v>
      </c>
      <c r="V14" s="7">
        <v>92</v>
      </c>
      <c r="W14" s="7">
        <v>6000000</v>
      </c>
      <c r="X14" s="7" t="s">
        <v>251</v>
      </c>
      <c r="Y14" s="7" t="s">
        <v>227</v>
      </c>
    </row>
    <row r="15" spans="1:25">
      <c r="A15" s="7" t="s">
        <v>252</v>
      </c>
      <c r="B15" s="7" t="s">
        <v>245</v>
      </c>
      <c r="C15" s="7">
        <v>25</v>
      </c>
      <c r="D15" s="7" t="s">
        <v>242</v>
      </c>
      <c r="E15" s="7">
        <v>66</v>
      </c>
      <c r="F15" s="7" t="s">
        <v>223</v>
      </c>
      <c r="G15" s="7" t="s">
        <v>224</v>
      </c>
      <c r="H15" s="7" t="s">
        <v>225</v>
      </c>
      <c r="I15" s="7">
        <v>7</v>
      </c>
      <c r="J15" s="7">
        <v>8</v>
      </c>
      <c r="K15" s="7">
        <v>8</v>
      </c>
      <c r="L15" s="7">
        <v>8</v>
      </c>
      <c r="M15" s="7">
        <v>8</v>
      </c>
      <c r="N15" s="7">
        <v>8</v>
      </c>
      <c r="O15" s="7">
        <v>8</v>
      </c>
      <c r="P15" s="7">
        <v>7</v>
      </c>
      <c r="Q15" s="7">
        <v>8</v>
      </c>
      <c r="R15" s="7">
        <v>8</v>
      </c>
      <c r="S15" s="7">
        <v>8</v>
      </c>
      <c r="T15" s="7">
        <v>8</v>
      </c>
      <c r="U15" s="7">
        <f t="shared" si="0"/>
        <v>78</v>
      </c>
      <c r="V15" s="7">
        <v>88</v>
      </c>
      <c r="W15" s="7">
        <v>3000000</v>
      </c>
      <c r="X15" s="7" t="s">
        <v>253</v>
      </c>
      <c r="Y15" s="7" t="s">
        <v>227</v>
      </c>
    </row>
    <row r="16" spans="1:25" ht="28.5">
      <c r="A16" s="7" t="s">
        <v>254</v>
      </c>
      <c r="B16" s="7" t="s">
        <v>229</v>
      </c>
      <c r="C16" s="7">
        <v>37</v>
      </c>
      <c r="D16" s="7" t="s">
        <v>255</v>
      </c>
      <c r="E16" s="7">
        <v>15</v>
      </c>
      <c r="F16" s="7" t="s">
        <v>223</v>
      </c>
      <c r="G16" s="7" t="s">
        <v>224</v>
      </c>
      <c r="H16" s="7" t="s">
        <v>225</v>
      </c>
      <c r="I16" s="7">
        <v>7</v>
      </c>
      <c r="J16" s="7">
        <v>8</v>
      </c>
      <c r="K16" s="7">
        <v>7</v>
      </c>
      <c r="L16" s="7">
        <v>8</v>
      </c>
      <c r="M16" s="7">
        <v>8</v>
      </c>
      <c r="N16" s="7">
        <v>8</v>
      </c>
      <c r="O16" s="7">
        <v>8</v>
      </c>
      <c r="P16" s="7">
        <v>7</v>
      </c>
      <c r="Q16" s="7">
        <v>8</v>
      </c>
      <c r="R16" s="7">
        <v>8</v>
      </c>
      <c r="S16" s="7">
        <v>7</v>
      </c>
      <c r="T16" s="7">
        <v>7</v>
      </c>
      <c r="U16" s="7">
        <f t="shared" si="0"/>
        <v>76</v>
      </c>
      <c r="V16" s="7">
        <v>84</v>
      </c>
      <c r="W16" s="7">
        <v>2500000</v>
      </c>
      <c r="X16" s="7" t="s">
        <v>256</v>
      </c>
      <c r="Y16" s="7" t="s">
        <v>227</v>
      </c>
    </row>
    <row r="17" spans="1:25" ht="28.5">
      <c r="A17" s="7" t="s">
        <v>257</v>
      </c>
      <c r="B17" s="7" t="s">
        <v>258</v>
      </c>
      <c r="C17" s="7">
        <v>25</v>
      </c>
      <c r="D17" s="7" t="s">
        <v>259</v>
      </c>
      <c r="E17" s="7">
        <v>76</v>
      </c>
      <c r="F17" s="7" t="s">
        <v>231</v>
      </c>
      <c r="G17" s="7" t="s">
        <v>224</v>
      </c>
      <c r="H17" s="7" t="s">
        <v>225</v>
      </c>
      <c r="I17" s="7">
        <v>8</v>
      </c>
      <c r="J17" s="7">
        <v>8</v>
      </c>
      <c r="K17" s="7">
        <v>8</v>
      </c>
      <c r="L17" s="7">
        <v>8</v>
      </c>
      <c r="M17" s="7">
        <v>8</v>
      </c>
      <c r="N17" s="7">
        <v>7</v>
      </c>
      <c r="O17" s="7">
        <v>7</v>
      </c>
      <c r="P17" s="7">
        <v>8</v>
      </c>
      <c r="Q17" s="7">
        <v>7</v>
      </c>
      <c r="R17" s="7">
        <v>7</v>
      </c>
      <c r="S17" s="7">
        <v>8</v>
      </c>
      <c r="T17" s="7">
        <v>7</v>
      </c>
      <c r="U17" s="7">
        <f t="shared" si="0"/>
        <v>76</v>
      </c>
      <c r="V17" s="7">
        <v>88</v>
      </c>
      <c r="W17" s="7">
        <v>3500000</v>
      </c>
      <c r="X17" s="7" t="s">
        <v>260</v>
      </c>
      <c r="Y17" s="7" t="s">
        <v>227</v>
      </c>
    </row>
    <row r="18" spans="1:25" ht="28.5">
      <c r="A18" s="7" t="s">
        <v>261</v>
      </c>
      <c r="B18" s="7" t="s">
        <v>262</v>
      </c>
      <c r="C18" s="7">
        <v>45</v>
      </c>
      <c r="D18" s="7" t="s">
        <v>233</v>
      </c>
      <c r="E18" s="7">
        <v>26</v>
      </c>
      <c r="F18" s="7" t="s">
        <v>223</v>
      </c>
      <c r="G18" s="7" t="s">
        <v>224</v>
      </c>
      <c r="H18" s="7" t="s">
        <v>225</v>
      </c>
      <c r="I18" s="7">
        <v>8</v>
      </c>
      <c r="J18" s="7">
        <v>9</v>
      </c>
      <c r="K18" s="7">
        <v>10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>
        <v>8</v>
      </c>
      <c r="R18" s="7">
        <v>8</v>
      </c>
      <c r="S18" s="7">
        <v>9</v>
      </c>
      <c r="T18" s="7">
        <v>7</v>
      </c>
      <c r="U18" s="7">
        <f t="shared" si="0"/>
        <v>83</v>
      </c>
      <c r="V18" s="7">
        <v>88</v>
      </c>
      <c r="W18" s="7">
        <v>4500000</v>
      </c>
      <c r="X18" s="7" t="s">
        <v>263</v>
      </c>
      <c r="Y18" s="7" t="s">
        <v>227</v>
      </c>
    </row>
    <row r="19" spans="1:25" ht="28.5">
      <c r="A19" s="7" t="s">
        <v>264</v>
      </c>
      <c r="B19" s="7" t="s">
        <v>229</v>
      </c>
      <c r="C19" s="7">
        <v>34</v>
      </c>
      <c r="D19" s="7" t="s">
        <v>265</v>
      </c>
      <c r="E19" s="7">
        <v>20</v>
      </c>
      <c r="F19" s="7" t="s">
        <v>231</v>
      </c>
      <c r="G19" s="7" t="s">
        <v>224</v>
      </c>
      <c r="H19" s="7" t="s">
        <v>225</v>
      </c>
      <c r="I19" s="7">
        <v>8</v>
      </c>
      <c r="J19" s="7">
        <v>8</v>
      </c>
      <c r="K19" s="7">
        <v>8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>
        <v>8</v>
      </c>
      <c r="R19" s="7">
        <v>8</v>
      </c>
      <c r="S19" s="7">
        <v>8</v>
      </c>
      <c r="T19" s="7">
        <v>7</v>
      </c>
      <c r="U19" s="7">
        <f t="shared" si="0"/>
        <v>79</v>
      </c>
      <c r="V19" s="7">
        <v>86</v>
      </c>
      <c r="W19" s="7">
        <v>3500000</v>
      </c>
      <c r="X19" s="7" t="s">
        <v>266</v>
      </c>
      <c r="Y19" s="7" t="s">
        <v>227</v>
      </c>
    </row>
    <row r="20" spans="1:25" ht="28.5">
      <c r="A20" s="7" t="s">
        <v>267</v>
      </c>
      <c r="B20" s="7" t="s">
        <v>268</v>
      </c>
      <c r="C20" s="7">
        <v>21</v>
      </c>
      <c r="D20" s="7" t="s">
        <v>222</v>
      </c>
      <c r="E20" s="7">
        <v>8</v>
      </c>
      <c r="F20" s="7" t="s">
        <v>223</v>
      </c>
      <c r="G20" s="7" t="s">
        <v>224</v>
      </c>
      <c r="H20" s="7" t="s">
        <v>225</v>
      </c>
      <c r="I20" s="7">
        <v>7</v>
      </c>
      <c r="J20" s="7">
        <v>7</v>
      </c>
      <c r="K20" s="7">
        <v>7</v>
      </c>
      <c r="L20" s="7">
        <v>7</v>
      </c>
      <c r="M20" s="7">
        <v>7</v>
      </c>
      <c r="N20" s="7">
        <v>7</v>
      </c>
      <c r="O20" s="7">
        <v>7</v>
      </c>
      <c r="P20" s="7">
        <v>7</v>
      </c>
      <c r="Q20" s="7">
        <v>7</v>
      </c>
      <c r="R20" s="7">
        <v>7</v>
      </c>
      <c r="S20" s="7">
        <v>7</v>
      </c>
      <c r="T20" s="7">
        <v>7</v>
      </c>
      <c r="U20" s="7">
        <f t="shared" si="0"/>
        <v>70</v>
      </c>
      <c r="V20" s="7">
        <v>88</v>
      </c>
      <c r="W20" s="7">
        <v>2200000</v>
      </c>
      <c r="X20" s="7" t="s">
        <v>269</v>
      </c>
      <c r="Y20" s="7" t="s">
        <v>227</v>
      </c>
    </row>
    <row r="21" spans="1:25" ht="28.5">
      <c r="A21" s="7" t="s">
        <v>270</v>
      </c>
      <c r="B21" s="7" t="s">
        <v>229</v>
      </c>
      <c r="C21" s="7">
        <v>28</v>
      </c>
      <c r="D21" s="7" t="s">
        <v>271</v>
      </c>
      <c r="E21" s="7">
        <v>14</v>
      </c>
      <c r="F21" s="7" t="s">
        <v>231</v>
      </c>
      <c r="G21" s="7" t="s">
        <v>224</v>
      </c>
      <c r="H21" s="7" t="s">
        <v>225</v>
      </c>
      <c r="I21" s="7">
        <v>9</v>
      </c>
      <c r="J21" s="7">
        <v>7</v>
      </c>
      <c r="K21" s="7">
        <v>8</v>
      </c>
      <c r="L21" s="7">
        <v>8</v>
      </c>
      <c r="M21" s="7">
        <v>8</v>
      </c>
      <c r="N21" s="7">
        <v>8</v>
      </c>
      <c r="O21" s="7">
        <v>7</v>
      </c>
      <c r="P21" s="7">
        <v>9</v>
      </c>
      <c r="Q21" s="7">
        <v>7</v>
      </c>
      <c r="R21" s="7">
        <v>7</v>
      </c>
      <c r="S21" s="7">
        <v>7</v>
      </c>
      <c r="T21" s="7">
        <v>6</v>
      </c>
      <c r="U21" s="7">
        <f t="shared" si="0"/>
        <v>76</v>
      </c>
      <c r="V21" s="7">
        <v>85</v>
      </c>
      <c r="W21" s="7">
        <v>2500000</v>
      </c>
      <c r="X21" s="7" t="s">
        <v>272</v>
      </c>
      <c r="Y21" s="7" t="s">
        <v>227</v>
      </c>
    </row>
    <row r="22" spans="1:25" ht="28.5">
      <c r="A22" s="7" t="s">
        <v>273</v>
      </c>
      <c r="B22" s="7" t="s">
        <v>274</v>
      </c>
      <c r="C22" s="7">
        <v>22</v>
      </c>
      <c r="D22" s="7" t="s">
        <v>255</v>
      </c>
      <c r="E22" s="7">
        <v>45</v>
      </c>
      <c r="F22" s="7" t="s">
        <v>223</v>
      </c>
      <c r="G22" s="7" t="s">
        <v>224</v>
      </c>
      <c r="H22" s="7" t="s">
        <v>225</v>
      </c>
      <c r="I22" s="7">
        <v>7</v>
      </c>
      <c r="J22" s="7">
        <v>8</v>
      </c>
      <c r="K22" s="7">
        <v>8</v>
      </c>
      <c r="L22" s="7">
        <v>8</v>
      </c>
      <c r="M22" s="7">
        <v>8</v>
      </c>
      <c r="N22" s="7">
        <v>7</v>
      </c>
      <c r="O22" s="7">
        <v>7</v>
      </c>
      <c r="P22" s="7">
        <v>7</v>
      </c>
      <c r="Q22" s="7">
        <v>7</v>
      </c>
      <c r="R22" s="7">
        <v>8</v>
      </c>
      <c r="S22" s="7">
        <v>7</v>
      </c>
      <c r="T22" s="7">
        <v>7</v>
      </c>
      <c r="U22" s="7">
        <f t="shared" si="0"/>
        <v>74</v>
      </c>
      <c r="V22" s="7">
        <v>90</v>
      </c>
      <c r="W22" s="7">
        <v>2800000</v>
      </c>
      <c r="X22" s="7" t="s">
        <v>275</v>
      </c>
      <c r="Y22" s="7" t="s">
        <v>227</v>
      </c>
    </row>
    <row r="23" spans="1:25" ht="28.5">
      <c r="A23" s="7" t="s">
        <v>276</v>
      </c>
      <c r="B23" s="7" t="s">
        <v>277</v>
      </c>
      <c r="C23" s="7">
        <v>23</v>
      </c>
      <c r="D23" s="7" t="s">
        <v>278</v>
      </c>
      <c r="E23" s="7">
        <v>19</v>
      </c>
      <c r="F23" s="7" t="s">
        <v>223</v>
      </c>
      <c r="G23" s="7" t="s">
        <v>224</v>
      </c>
      <c r="H23" s="7" t="s">
        <v>279</v>
      </c>
      <c r="I23" s="7">
        <v>7</v>
      </c>
      <c r="J23" s="7">
        <v>8</v>
      </c>
      <c r="K23" s="7">
        <v>8</v>
      </c>
      <c r="L23" s="7">
        <v>8</v>
      </c>
      <c r="M23" s="7">
        <v>8</v>
      </c>
      <c r="N23" s="7">
        <v>7</v>
      </c>
      <c r="O23" s="7">
        <v>7</v>
      </c>
      <c r="P23" s="7">
        <v>7</v>
      </c>
      <c r="Q23" s="7">
        <v>7</v>
      </c>
      <c r="R23" s="7">
        <v>7</v>
      </c>
      <c r="S23" s="7">
        <v>7</v>
      </c>
      <c r="T23" s="7">
        <v>8</v>
      </c>
      <c r="U23" s="7">
        <f t="shared" si="0"/>
        <v>74</v>
      </c>
      <c r="V23" s="7">
        <v>91</v>
      </c>
      <c r="W23" s="7">
        <v>3000000</v>
      </c>
      <c r="X23" s="7" t="s">
        <v>280</v>
      </c>
      <c r="Y23" s="7" t="s">
        <v>227</v>
      </c>
    </row>
    <row r="24" spans="1:25">
      <c r="A24" s="7" t="s">
        <v>281</v>
      </c>
      <c r="B24" s="7" t="s">
        <v>282</v>
      </c>
      <c r="C24" s="7">
        <v>40</v>
      </c>
      <c r="D24" s="7" t="s">
        <v>278</v>
      </c>
      <c r="E24" s="7">
        <v>18</v>
      </c>
      <c r="F24" s="7" t="s">
        <v>223</v>
      </c>
      <c r="G24" s="7" t="s">
        <v>224</v>
      </c>
      <c r="H24" s="7" t="s">
        <v>225</v>
      </c>
      <c r="I24" s="7">
        <v>7</v>
      </c>
      <c r="J24" s="7">
        <v>8</v>
      </c>
      <c r="K24" s="7">
        <v>8</v>
      </c>
      <c r="L24" s="7">
        <v>8</v>
      </c>
      <c r="M24" s="7">
        <v>8</v>
      </c>
      <c r="N24" s="7">
        <v>7</v>
      </c>
      <c r="O24" s="7">
        <v>7</v>
      </c>
      <c r="P24" s="7">
        <v>8</v>
      </c>
      <c r="Q24" s="7">
        <v>6</v>
      </c>
      <c r="R24" s="7">
        <v>7</v>
      </c>
      <c r="S24" s="7">
        <v>8</v>
      </c>
      <c r="T24" s="7">
        <v>7</v>
      </c>
      <c r="U24" s="7">
        <f t="shared" si="0"/>
        <v>74</v>
      </c>
      <c r="V24" s="7">
        <v>82</v>
      </c>
      <c r="W24" s="7">
        <v>2500000</v>
      </c>
      <c r="X24" s="7" t="s">
        <v>283</v>
      </c>
      <c r="Y24" s="7" t="s">
        <v>227</v>
      </c>
    </row>
    <row r="25" spans="1:25" ht="28.5">
      <c r="A25" s="7" t="s">
        <v>284</v>
      </c>
      <c r="B25" s="7" t="s">
        <v>229</v>
      </c>
      <c r="C25" s="7">
        <v>21</v>
      </c>
      <c r="D25" s="7" t="s">
        <v>236</v>
      </c>
      <c r="E25" s="7">
        <v>6</v>
      </c>
      <c r="F25" s="7" t="s">
        <v>231</v>
      </c>
      <c r="G25" s="7" t="s">
        <v>224</v>
      </c>
      <c r="H25" s="7" t="s">
        <v>225</v>
      </c>
      <c r="I25" s="7">
        <v>7</v>
      </c>
      <c r="J25" s="7">
        <v>7</v>
      </c>
      <c r="K25" s="7">
        <v>7</v>
      </c>
      <c r="L25" s="7">
        <v>7</v>
      </c>
      <c r="M25" s="7">
        <v>7</v>
      </c>
      <c r="N25" s="7">
        <v>7</v>
      </c>
      <c r="O25" s="7">
        <v>7</v>
      </c>
      <c r="P25" s="7">
        <v>7</v>
      </c>
      <c r="Q25" s="7">
        <v>7</v>
      </c>
      <c r="R25" s="7">
        <v>7</v>
      </c>
      <c r="S25" s="7">
        <v>7</v>
      </c>
      <c r="T25" s="7">
        <v>7</v>
      </c>
      <c r="U25" s="7">
        <f t="shared" si="0"/>
        <v>70</v>
      </c>
      <c r="V25" s="7">
        <v>90</v>
      </c>
      <c r="W25" s="7">
        <v>2800000</v>
      </c>
      <c r="X25" s="7" t="s">
        <v>285</v>
      </c>
      <c r="Y25" s="7" t="s">
        <v>227</v>
      </c>
    </row>
    <row r="26" spans="1:25" ht="28.5">
      <c r="A26" s="7" t="s">
        <v>286</v>
      </c>
      <c r="B26" s="7" t="s">
        <v>235</v>
      </c>
      <c r="C26" s="7">
        <v>25</v>
      </c>
      <c r="D26" s="7" t="s">
        <v>265</v>
      </c>
      <c r="E26" s="7">
        <v>21</v>
      </c>
      <c r="F26" s="7" t="s">
        <v>231</v>
      </c>
      <c r="G26" s="7" t="s">
        <v>224</v>
      </c>
      <c r="H26" s="7" t="s">
        <v>225</v>
      </c>
      <c r="I26" s="7">
        <v>8</v>
      </c>
      <c r="J26" s="7">
        <v>7</v>
      </c>
      <c r="K26" s="7">
        <v>7</v>
      </c>
      <c r="L26" s="7">
        <v>7</v>
      </c>
      <c r="M26" s="7">
        <v>7</v>
      </c>
      <c r="N26" s="7">
        <v>7</v>
      </c>
      <c r="O26" s="7">
        <v>7</v>
      </c>
      <c r="P26" s="7">
        <v>7</v>
      </c>
      <c r="Q26" s="7">
        <v>7</v>
      </c>
      <c r="R26" s="7">
        <v>7</v>
      </c>
      <c r="S26" s="7">
        <v>7</v>
      </c>
      <c r="T26" s="7">
        <v>6</v>
      </c>
      <c r="U26" s="7">
        <f t="shared" si="0"/>
        <v>70</v>
      </c>
      <c r="V26" s="7">
        <v>86</v>
      </c>
      <c r="W26" s="7">
        <v>2500000</v>
      </c>
      <c r="X26" s="7" t="s">
        <v>287</v>
      </c>
      <c r="Y26" s="7" t="s">
        <v>227</v>
      </c>
    </row>
    <row r="27" spans="1:25" ht="28.5">
      <c r="A27" s="7" t="s">
        <v>288</v>
      </c>
      <c r="B27" s="7" t="s">
        <v>289</v>
      </c>
      <c r="C27" s="7">
        <v>24</v>
      </c>
      <c r="D27" s="7" t="s">
        <v>271</v>
      </c>
      <c r="E27" s="7">
        <v>4</v>
      </c>
      <c r="F27" s="7" t="s">
        <v>231</v>
      </c>
      <c r="G27" s="7" t="s">
        <v>224</v>
      </c>
      <c r="H27" s="7" t="s">
        <v>279</v>
      </c>
      <c r="I27" s="7">
        <v>7</v>
      </c>
      <c r="J27" s="7">
        <v>8</v>
      </c>
      <c r="K27" s="7">
        <v>8</v>
      </c>
      <c r="L27" s="7">
        <v>7</v>
      </c>
      <c r="M27" s="7">
        <v>7</v>
      </c>
      <c r="N27" s="7">
        <v>7</v>
      </c>
      <c r="O27" s="7">
        <v>7</v>
      </c>
      <c r="P27" s="7">
        <v>7</v>
      </c>
      <c r="Q27" s="7">
        <v>7</v>
      </c>
      <c r="R27" s="7">
        <v>7</v>
      </c>
      <c r="S27" s="7">
        <v>7</v>
      </c>
      <c r="T27" s="7">
        <v>8</v>
      </c>
      <c r="U27" s="7">
        <f t="shared" si="0"/>
        <v>73</v>
      </c>
      <c r="V27" s="7">
        <v>90</v>
      </c>
      <c r="W27" s="7">
        <v>3000000</v>
      </c>
      <c r="X27" s="7" t="s">
        <v>290</v>
      </c>
      <c r="Y27" s="7" t="s">
        <v>227</v>
      </c>
    </row>
    <row r="28" spans="1:25" ht="28.5">
      <c r="A28" s="7" t="s">
        <v>291</v>
      </c>
      <c r="B28" s="7" t="s">
        <v>292</v>
      </c>
      <c r="C28" s="7">
        <v>27</v>
      </c>
      <c r="D28" s="7" t="s">
        <v>255</v>
      </c>
      <c r="E28" s="7">
        <v>47</v>
      </c>
      <c r="F28" s="7" t="s">
        <v>223</v>
      </c>
      <c r="G28" s="7" t="s">
        <v>224</v>
      </c>
      <c r="H28" s="7" t="s">
        <v>279</v>
      </c>
      <c r="I28" s="7">
        <v>6</v>
      </c>
      <c r="J28" s="7">
        <v>8</v>
      </c>
      <c r="K28" s="7">
        <v>8</v>
      </c>
      <c r="L28" s="7">
        <v>8</v>
      </c>
      <c r="M28" s="7">
        <v>8</v>
      </c>
      <c r="N28" s="7">
        <v>7</v>
      </c>
      <c r="O28" s="7">
        <v>7</v>
      </c>
      <c r="P28" s="7">
        <v>7</v>
      </c>
      <c r="Q28" s="7">
        <v>7</v>
      </c>
      <c r="R28" s="7">
        <v>8</v>
      </c>
      <c r="S28" s="7">
        <v>8</v>
      </c>
      <c r="T28" s="7">
        <v>8</v>
      </c>
      <c r="U28" s="7">
        <f t="shared" si="0"/>
        <v>75</v>
      </c>
      <c r="V28" s="7">
        <v>89</v>
      </c>
      <c r="W28" s="7">
        <v>4000000</v>
      </c>
      <c r="X28" s="7" t="s">
        <v>293</v>
      </c>
      <c r="Y28" s="7" t="s">
        <v>227</v>
      </c>
    </row>
    <row r="29" spans="1:25" ht="28.5">
      <c r="A29" s="7" t="s">
        <v>294</v>
      </c>
      <c r="B29" s="7" t="s">
        <v>229</v>
      </c>
      <c r="C29" s="7">
        <v>24</v>
      </c>
      <c r="D29" s="7" t="s">
        <v>259</v>
      </c>
      <c r="E29" s="7">
        <v>77</v>
      </c>
      <c r="F29" s="7" t="s">
        <v>231</v>
      </c>
      <c r="G29" s="7" t="s">
        <v>224</v>
      </c>
      <c r="H29" s="7" t="s">
        <v>225</v>
      </c>
      <c r="I29" s="7">
        <v>7</v>
      </c>
      <c r="J29" s="7">
        <v>6</v>
      </c>
      <c r="K29" s="7">
        <v>6</v>
      </c>
      <c r="L29" s="7">
        <v>6</v>
      </c>
      <c r="M29" s="7">
        <v>6</v>
      </c>
      <c r="N29" s="7">
        <v>6</v>
      </c>
      <c r="O29" s="7">
        <v>7</v>
      </c>
      <c r="P29" s="7">
        <v>7</v>
      </c>
      <c r="Q29" s="7">
        <v>6</v>
      </c>
      <c r="R29" s="7">
        <v>6</v>
      </c>
      <c r="S29" s="7">
        <v>6</v>
      </c>
      <c r="T29" s="7">
        <v>5</v>
      </c>
      <c r="U29" s="7">
        <f t="shared" si="0"/>
        <v>62</v>
      </c>
      <c r="V29" s="7">
        <v>80</v>
      </c>
      <c r="W29" s="7">
        <v>1800000</v>
      </c>
      <c r="X29" s="7" t="s">
        <v>295</v>
      </c>
      <c r="Y29" s="7" t="s">
        <v>227</v>
      </c>
    </row>
    <row r="30" spans="1:25" ht="28.5">
      <c r="A30" s="7" t="s">
        <v>296</v>
      </c>
      <c r="B30" s="7" t="s">
        <v>229</v>
      </c>
      <c r="C30" s="7">
        <v>34</v>
      </c>
      <c r="D30" s="7" t="s">
        <v>297</v>
      </c>
      <c r="E30" s="7">
        <v>23</v>
      </c>
      <c r="F30" s="7" t="s">
        <v>231</v>
      </c>
      <c r="G30" s="7" t="s">
        <v>298</v>
      </c>
      <c r="H30" s="7" t="s">
        <v>225</v>
      </c>
      <c r="I30" s="7">
        <v>8</v>
      </c>
      <c r="J30" s="7">
        <v>7</v>
      </c>
      <c r="K30" s="7">
        <v>7</v>
      </c>
      <c r="L30" s="7">
        <v>7</v>
      </c>
      <c r="M30" s="7">
        <v>8</v>
      </c>
      <c r="N30" s="7">
        <v>7</v>
      </c>
      <c r="O30" s="7">
        <v>8</v>
      </c>
      <c r="P30" s="7">
        <v>7</v>
      </c>
      <c r="Q30" s="7">
        <v>7</v>
      </c>
      <c r="R30" s="7">
        <v>7</v>
      </c>
      <c r="S30" s="7">
        <v>7</v>
      </c>
      <c r="T30" s="7">
        <v>6</v>
      </c>
      <c r="U30" s="7">
        <f t="shared" si="0"/>
        <v>72</v>
      </c>
      <c r="V30" s="7">
        <v>78</v>
      </c>
      <c r="W30" s="7">
        <v>1200000</v>
      </c>
      <c r="X30" s="7" t="s">
        <v>299</v>
      </c>
      <c r="Y30" s="7" t="s">
        <v>227</v>
      </c>
    </row>
    <row r="31" spans="1:25" ht="28.5">
      <c r="A31" s="7" t="s">
        <v>300</v>
      </c>
      <c r="B31" s="7" t="s">
        <v>301</v>
      </c>
      <c r="C31" s="7">
        <v>49</v>
      </c>
      <c r="D31" s="7" t="s">
        <v>255</v>
      </c>
      <c r="E31" s="7">
        <v>75</v>
      </c>
      <c r="F31" s="7" t="s">
        <v>223</v>
      </c>
      <c r="G31" s="7" t="s">
        <v>298</v>
      </c>
      <c r="H31" s="7" t="s">
        <v>225</v>
      </c>
      <c r="I31" s="7">
        <v>9</v>
      </c>
      <c r="J31" s="7">
        <v>7</v>
      </c>
      <c r="K31" s="7">
        <v>8</v>
      </c>
      <c r="L31" s="7">
        <v>8</v>
      </c>
      <c r="M31" s="7">
        <v>8</v>
      </c>
      <c r="N31" s="7">
        <v>7</v>
      </c>
      <c r="O31" s="7">
        <v>7</v>
      </c>
      <c r="P31" s="7">
        <v>9</v>
      </c>
      <c r="Q31" s="7">
        <v>6</v>
      </c>
      <c r="R31" s="7">
        <v>7</v>
      </c>
      <c r="S31" s="7">
        <v>7</v>
      </c>
      <c r="T31" s="7">
        <v>6</v>
      </c>
      <c r="U31" s="7">
        <f t="shared" si="0"/>
        <v>74</v>
      </c>
      <c r="V31" s="7">
        <v>77</v>
      </c>
      <c r="W31" s="7">
        <v>1000000</v>
      </c>
      <c r="X31" s="7" t="s">
        <v>302</v>
      </c>
      <c r="Y31" s="7" t="s">
        <v>227</v>
      </c>
    </row>
    <row r="32" spans="1:25" ht="28.5">
      <c r="A32" s="7" t="s">
        <v>303</v>
      </c>
      <c r="B32" s="7" t="s">
        <v>274</v>
      </c>
      <c r="C32" s="7">
        <v>33</v>
      </c>
      <c r="D32" s="7" t="s">
        <v>297</v>
      </c>
      <c r="E32" s="7">
        <v>24</v>
      </c>
      <c r="F32" s="7" t="s">
        <v>231</v>
      </c>
      <c r="G32" s="7" t="s">
        <v>298</v>
      </c>
      <c r="H32" s="7" t="s">
        <v>225</v>
      </c>
      <c r="I32" s="7">
        <v>7</v>
      </c>
      <c r="J32" s="7">
        <v>7</v>
      </c>
      <c r="K32" s="7">
        <v>7</v>
      </c>
      <c r="L32" s="7">
        <v>7</v>
      </c>
      <c r="M32" s="7">
        <v>7</v>
      </c>
      <c r="N32" s="7">
        <v>7</v>
      </c>
      <c r="O32" s="7">
        <v>7</v>
      </c>
      <c r="P32" s="7">
        <v>6</v>
      </c>
      <c r="Q32" s="7">
        <v>7</v>
      </c>
      <c r="R32" s="7">
        <v>7</v>
      </c>
      <c r="S32" s="7">
        <v>7</v>
      </c>
      <c r="T32" s="7">
        <v>6</v>
      </c>
      <c r="U32" s="7">
        <f t="shared" si="0"/>
        <v>68</v>
      </c>
      <c r="V32" s="7">
        <v>76</v>
      </c>
      <c r="W32" s="7">
        <v>900000</v>
      </c>
      <c r="X32" s="7" t="s">
        <v>304</v>
      </c>
      <c r="Y32" s="7" t="s">
        <v>227</v>
      </c>
    </row>
    <row r="33" spans="1:25">
      <c r="A33" s="7" t="s">
        <v>305</v>
      </c>
      <c r="B33" s="7" t="s">
        <v>229</v>
      </c>
      <c r="C33" s="7">
        <v>25</v>
      </c>
      <c r="D33" s="7" t="s">
        <v>306</v>
      </c>
      <c r="E33" s="7">
        <v>51</v>
      </c>
      <c r="F33" s="7" t="s">
        <v>231</v>
      </c>
      <c r="G33" s="7" t="s">
        <v>298</v>
      </c>
      <c r="H33" s="7" t="s">
        <v>225</v>
      </c>
      <c r="I33" s="7">
        <v>6</v>
      </c>
      <c r="J33" s="7">
        <v>7</v>
      </c>
      <c r="K33" s="7">
        <v>7</v>
      </c>
      <c r="L33" s="7">
        <v>6</v>
      </c>
      <c r="M33" s="7">
        <v>6</v>
      </c>
      <c r="N33" s="7">
        <v>6</v>
      </c>
      <c r="O33" s="7">
        <v>6</v>
      </c>
      <c r="P33" s="7">
        <v>6</v>
      </c>
      <c r="Q33" s="7">
        <v>7</v>
      </c>
      <c r="R33" s="7">
        <v>6</v>
      </c>
      <c r="S33" s="7">
        <v>6</v>
      </c>
      <c r="T33" s="7">
        <v>6</v>
      </c>
      <c r="U33" s="7">
        <f t="shared" si="0"/>
        <v>63</v>
      </c>
      <c r="V33" s="7">
        <v>80</v>
      </c>
      <c r="W33" s="7">
        <v>800000</v>
      </c>
      <c r="X33" s="7" t="s">
        <v>307</v>
      </c>
      <c r="Y33" s="7" t="s">
        <v>227</v>
      </c>
    </row>
    <row r="34" spans="1:25" ht="28.5">
      <c r="A34" s="7" t="s">
        <v>308</v>
      </c>
      <c r="B34" s="7" t="s">
        <v>289</v>
      </c>
      <c r="C34" s="7">
        <v>51</v>
      </c>
      <c r="D34" s="7" t="s">
        <v>242</v>
      </c>
      <c r="E34" s="7">
        <v>6</v>
      </c>
      <c r="F34" s="7" t="s">
        <v>223</v>
      </c>
      <c r="G34" s="7" t="s">
        <v>298</v>
      </c>
      <c r="H34" s="7" t="s">
        <v>225</v>
      </c>
      <c r="I34" s="7">
        <v>8</v>
      </c>
      <c r="J34" s="7">
        <v>7</v>
      </c>
      <c r="K34" s="7">
        <v>8</v>
      </c>
      <c r="L34" s="7">
        <v>7</v>
      </c>
      <c r="M34" s="7">
        <v>8</v>
      </c>
      <c r="N34" s="7">
        <v>7</v>
      </c>
      <c r="O34" s="7">
        <v>7</v>
      </c>
      <c r="P34" s="7">
        <v>8</v>
      </c>
      <c r="Q34" s="7">
        <v>7</v>
      </c>
      <c r="R34" s="7">
        <v>7</v>
      </c>
      <c r="S34" s="7">
        <v>7</v>
      </c>
      <c r="T34" s="7">
        <v>6</v>
      </c>
      <c r="U34" s="7">
        <f t="shared" si="0"/>
        <v>73</v>
      </c>
      <c r="V34" s="7">
        <v>75</v>
      </c>
      <c r="W34" s="7">
        <v>1000000</v>
      </c>
      <c r="X34" s="7" t="s">
        <v>309</v>
      </c>
      <c r="Y34" s="7" t="s">
        <v>227</v>
      </c>
    </row>
    <row r="35" spans="1:25">
      <c r="A35" s="7" t="s">
        <v>310</v>
      </c>
      <c r="B35" s="7" t="s">
        <v>229</v>
      </c>
      <c r="C35" s="7">
        <v>45</v>
      </c>
      <c r="D35" s="7" t="s">
        <v>265</v>
      </c>
      <c r="E35" s="7">
        <v>33</v>
      </c>
      <c r="F35" s="7" t="s">
        <v>231</v>
      </c>
      <c r="G35" s="7" t="s">
        <v>298</v>
      </c>
      <c r="H35" s="7" t="s">
        <v>225</v>
      </c>
      <c r="I35" s="7">
        <v>8</v>
      </c>
      <c r="J35" s="7">
        <v>5</v>
      </c>
      <c r="K35" s="7">
        <v>7</v>
      </c>
      <c r="L35" s="7">
        <v>7</v>
      </c>
      <c r="M35" s="7">
        <v>7</v>
      </c>
      <c r="N35" s="7">
        <v>7</v>
      </c>
      <c r="O35" s="7">
        <v>8</v>
      </c>
      <c r="P35" s="7">
        <v>7</v>
      </c>
      <c r="Q35" s="7">
        <v>7</v>
      </c>
      <c r="R35" s="7">
        <v>7</v>
      </c>
      <c r="S35" s="7">
        <v>6</v>
      </c>
      <c r="T35" s="7">
        <v>5</v>
      </c>
      <c r="U35" s="7">
        <f t="shared" si="0"/>
        <v>68</v>
      </c>
      <c r="V35" s="7">
        <v>74</v>
      </c>
      <c r="W35" s="7">
        <v>700000</v>
      </c>
      <c r="X35" s="7" t="s">
        <v>311</v>
      </c>
      <c r="Y35" s="7" t="s">
        <v>227</v>
      </c>
    </row>
    <row r="36" spans="1:25">
      <c r="A36" s="7" t="s">
        <v>312</v>
      </c>
      <c r="B36" s="7" t="s">
        <v>229</v>
      </c>
      <c r="C36" s="7">
        <v>45</v>
      </c>
      <c r="D36" s="7" t="s">
        <v>236</v>
      </c>
      <c r="E36" s="7">
        <v>31</v>
      </c>
      <c r="F36" s="7" t="s">
        <v>231</v>
      </c>
      <c r="G36" s="7" t="s">
        <v>298</v>
      </c>
      <c r="H36" s="7" t="s">
        <v>225</v>
      </c>
      <c r="I36" s="7">
        <v>8</v>
      </c>
      <c r="J36" s="7">
        <v>7</v>
      </c>
      <c r="K36" s="7">
        <v>7</v>
      </c>
      <c r="L36" s="7">
        <v>7</v>
      </c>
      <c r="M36" s="7">
        <v>8</v>
      </c>
      <c r="N36" s="7">
        <v>7</v>
      </c>
      <c r="O36" s="7">
        <v>7</v>
      </c>
      <c r="P36" s="7">
        <v>8</v>
      </c>
      <c r="Q36" s="7">
        <v>7</v>
      </c>
      <c r="R36" s="7">
        <v>7</v>
      </c>
      <c r="S36" s="7">
        <v>7</v>
      </c>
      <c r="T36" s="7">
        <v>6</v>
      </c>
      <c r="U36" s="7">
        <f t="shared" si="0"/>
        <v>72</v>
      </c>
      <c r="V36" s="7">
        <v>76</v>
      </c>
      <c r="W36" s="7">
        <v>900000</v>
      </c>
      <c r="X36" s="7" t="s">
        <v>313</v>
      </c>
      <c r="Y36" s="7" t="s">
        <v>227</v>
      </c>
    </row>
    <row r="37" spans="1:25" ht="28.5">
      <c r="A37" s="7" t="s">
        <v>314</v>
      </c>
      <c r="B37" s="7" t="s">
        <v>274</v>
      </c>
      <c r="C37" s="7">
        <v>46</v>
      </c>
      <c r="D37" s="7" t="s">
        <v>315</v>
      </c>
      <c r="E37" s="7">
        <v>11</v>
      </c>
      <c r="F37" s="7" t="s">
        <v>231</v>
      </c>
      <c r="G37" s="7" t="s">
        <v>298</v>
      </c>
      <c r="H37" s="7" t="s">
        <v>225</v>
      </c>
      <c r="I37" s="7">
        <v>6</v>
      </c>
      <c r="J37" s="7">
        <v>6</v>
      </c>
      <c r="K37" s="7">
        <v>6</v>
      </c>
      <c r="L37" s="7">
        <v>6</v>
      </c>
      <c r="M37" s="7">
        <v>7</v>
      </c>
      <c r="N37" s="7">
        <v>6</v>
      </c>
      <c r="O37" s="7">
        <v>6</v>
      </c>
      <c r="P37" s="7">
        <v>6</v>
      </c>
      <c r="Q37" s="7">
        <v>6</v>
      </c>
      <c r="R37" s="7">
        <v>6</v>
      </c>
      <c r="S37" s="7">
        <v>6</v>
      </c>
      <c r="T37" s="7">
        <v>5</v>
      </c>
      <c r="U37" s="7">
        <f t="shared" si="0"/>
        <v>60</v>
      </c>
      <c r="V37" s="7">
        <v>72</v>
      </c>
      <c r="W37" s="7">
        <v>650000</v>
      </c>
      <c r="X37" s="7" t="s">
        <v>316</v>
      </c>
      <c r="Y37" s="7" t="s">
        <v>227</v>
      </c>
    </row>
  </sheetData>
  <conditionalFormatting sqref="I5:V37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"/>
  <sheetViews>
    <sheetView workbookViewId="0"/>
  </sheetViews>
  <sheetFormatPr defaultRowHeight="14.25"/>
  <cols>
    <col min="1" max="7" width="18" customWidth="1"/>
    <col min="8" max="8" width="32" customWidth="1"/>
    <col min="9" max="12" width="18" customWidth="1"/>
    <col min="13" max="13" width="32" customWidth="1"/>
    <col min="14" max="15" width="18" customWidth="1"/>
    <col min="16" max="19" width="32" customWidth="1"/>
  </cols>
  <sheetData>
    <row r="1" spans="1:19" ht="20.25">
      <c r="A1" s="1" t="s">
        <v>317</v>
      </c>
    </row>
    <row r="2" spans="1:19">
      <c r="A2" s="4" t="s">
        <v>318</v>
      </c>
    </row>
    <row r="4" spans="1:19" ht="30">
      <c r="A4" s="6" t="s">
        <v>200</v>
      </c>
      <c r="B4" s="6" t="s">
        <v>202</v>
      </c>
      <c r="C4" s="6" t="s">
        <v>319</v>
      </c>
      <c r="D4" s="6" t="s">
        <v>320</v>
      </c>
      <c r="E4" s="6" t="s">
        <v>321</v>
      </c>
      <c r="F4" s="6" t="s">
        <v>322</v>
      </c>
      <c r="G4" s="6" t="s">
        <v>323</v>
      </c>
      <c r="H4" s="6" t="s">
        <v>324</v>
      </c>
      <c r="I4" s="6" t="s">
        <v>325</v>
      </c>
      <c r="J4" s="6" t="s">
        <v>326</v>
      </c>
      <c r="K4" s="6" t="s">
        <v>327</v>
      </c>
      <c r="L4" s="6" t="s">
        <v>328</v>
      </c>
      <c r="M4" s="6" t="s">
        <v>329</v>
      </c>
      <c r="N4" s="6" t="s">
        <v>330</v>
      </c>
      <c r="O4" s="6" t="s">
        <v>216</v>
      </c>
      <c r="P4" s="6" t="s">
        <v>331</v>
      </c>
      <c r="Q4" s="6" t="s">
        <v>332</v>
      </c>
      <c r="R4" s="6" t="s">
        <v>333</v>
      </c>
      <c r="S4" s="6" t="s">
        <v>220</v>
      </c>
    </row>
    <row r="5" spans="1:19" ht="28.5">
      <c r="A5" s="7" t="s">
        <v>222</v>
      </c>
      <c r="B5" s="7" t="s">
        <v>223</v>
      </c>
      <c r="C5" s="7" t="s">
        <v>334</v>
      </c>
      <c r="D5" s="7" t="s">
        <v>335</v>
      </c>
      <c r="E5" s="7" t="s">
        <v>336</v>
      </c>
      <c r="F5" s="7">
        <v>10</v>
      </c>
      <c r="G5" s="7">
        <v>9</v>
      </c>
      <c r="H5" s="7">
        <v>10</v>
      </c>
      <c r="I5" s="7">
        <v>9</v>
      </c>
      <c r="J5" s="7">
        <v>10</v>
      </c>
      <c r="K5" s="7">
        <v>10</v>
      </c>
      <c r="L5" s="7">
        <v>10</v>
      </c>
      <c r="M5" s="7">
        <v>9</v>
      </c>
      <c r="N5" s="7">
        <v>9</v>
      </c>
      <c r="O5" s="7">
        <f t="shared" ref="O5:O17" si="0">ROUND(AVERAGE(F5:N5)*10,0)</f>
        <v>96</v>
      </c>
      <c r="P5" s="7" t="s">
        <v>337</v>
      </c>
      <c r="Q5" s="7" t="s">
        <v>338</v>
      </c>
      <c r="R5" s="7" t="s">
        <v>339</v>
      </c>
      <c r="S5" s="7" t="s">
        <v>340</v>
      </c>
    </row>
    <row r="6" spans="1:19" ht="28.5">
      <c r="A6" s="7" t="s">
        <v>230</v>
      </c>
      <c r="B6" s="7" t="s">
        <v>231</v>
      </c>
      <c r="C6" s="7" t="s">
        <v>341</v>
      </c>
      <c r="D6" s="7" t="s">
        <v>335</v>
      </c>
      <c r="E6" s="7" t="s">
        <v>336</v>
      </c>
      <c r="F6" s="7">
        <v>9</v>
      </c>
      <c r="G6" s="7">
        <v>10</v>
      </c>
      <c r="H6" s="7">
        <v>9</v>
      </c>
      <c r="I6" s="7">
        <v>10</v>
      </c>
      <c r="J6" s="7">
        <v>10</v>
      </c>
      <c r="K6" s="7">
        <v>9</v>
      </c>
      <c r="L6" s="7">
        <v>10</v>
      </c>
      <c r="M6" s="7">
        <v>10</v>
      </c>
      <c r="N6" s="7">
        <v>8</v>
      </c>
      <c r="O6" s="7">
        <f t="shared" si="0"/>
        <v>94</v>
      </c>
      <c r="P6" s="7" t="s">
        <v>342</v>
      </c>
      <c r="Q6" s="7" t="s">
        <v>343</v>
      </c>
      <c r="R6" s="7" t="s">
        <v>344</v>
      </c>
      <c r="S6" s="7" t="s">
        <v>340</v>
      </c>
    </row>
    <row r="7" spans="1:19" ht="28.5">
      <c r="A7" s="7" t="s">
        <v>236</v>
      </c>
      <c r="B7" s="7" t="s">
        <v>231</v>
      </c>
      <c r="C7" s="7" t="s">
        <v>345</v>
      </c>
      <c r="D7" s="7" t="s">
        <v>335</v>
      </c>
      <c r="E7" s="7" t="s">
        <v>336</v>
      </c>
      <c r="F7" s="7">
        <v>9</v>
      </c>
      <c r="G7" s="7">
        <v>8</v>
      </c>
      <c r="H7" s="7">
        <v>8</v>
      </c>
      <c r="I7" s="7">
        <v>8</v>
      </c>
      <c r="J7" s="7">
        <v>9</v>
      </c>
      <c r="K7" s="7">
        <v>8</v>
      </c>
      <c r="L7" s="7">
        <v>10</v>
      </c>
      <c r="M7" s="7">
        <v>10</v>
      </c>
      <c r="N7" s="7">
        <v>9</v>
      </c>
      <c r="O7" s="7">
        <f t="shared" si="0"/>
        <v>88</v>
      </c>
      <c r="P7" s="7" t="s">
        <v>346</v>
      </c>
      <c r="Q7" s="7" t="s">
        <v>347</v>
      </c>
      <c r="R7" s="7" t="s">
        <v>348</v>
      </c>
      <c r="S7" s="7" t="s">
        <v>340</v>
      </c>
    </row>
    <row r="8" spans="1:19" ht="28.5">
      <c r="A8" s="7" t="s">
        <v>233</v>
      </c>
      <c r="B8" s="7" t="s">
        <v>223</v>
      </c>
      <c r="C8" s="7" t="s">
        <v>349</v>
      </c>
      <c r="D8" s="7" t="s">
        <v>335</v>
      </c>
      <c r="E8" s="7" t="s">
        <v>336</v>
      </c>
      <c r="F8" s="7">
        <v>9</v>
      </c>
      <c r="G8" s="7">
        <v>8</v>
      </c>
      <c r="H8" s="7">
        <v>8</v>
      </c>
      <c r="I8" s="7">
        <v>8</v>
      </c>
      <c r="J8" s="7">
        <v>8</v>
      </c>
      <c r="K8" s="7">
        <v>8</v>
      </c>
      <c r="L8" s="7">
        <v>9</v>
      </c>
      <c r="M8" s="7">
        <v>9</v>
      </c>
      <c r="N8" s="7">
        <v>8</v>
      </c>
      <c r="O8" s="7">
        <f t="shared" si="0"/>
        <v>83</v>
      </c>
      <c r="P8" s="7" t="s">
        <v>350</v>
      </c>
      <c r="Q8" s="7" t="s">
        <v>351</v>
      </c>
      <c r="R8" s="7" t="s">
        <v>352</v>
      </c>
      <c r="S8" s="7" t="s">
        <v>340</v>
      </c>
    </row>
    <row r="9" spans="1:19" ht="28.5">
      <c r="A9" s="7" t="s">
        <v>242</v>
      </c>
      <c r="B9" s="7" t="s">
        <v>223</v>
      </c>
      <c r="C9" s="7" t="s">
        <v>353</v>
      </c>
      <c r="D9" s="7" t="s">
        <v>335</v>
      </c>
      <c r="E9" s="7" t="s">
        <v>336</v>
      </c>
      <c r="F9" s="7">
        <v>8</v>
      </c>
      <c r="G9" s="7">
        <v>8</v>
      </c>
      <c r="H9" s="7">
        <v>8</v>
      </c>
      <c r="I9" s="7">
        <v>8</v>
      </c>
      <c r="J9" s="7">
        <v>8</v>
      </c>
      <c r="K9" s="7">
        <v>8</v>
      </c>
      <c r="L9" s="7">
        <v>8</v>
      </c>
      <c r="M9" s="7">
        <v>8</v>
      </c>
      <c r="N9" s="7">
        <v>7</v>
      </c>
      <c r="O9" s="7">
        <f t="shared" si="0"/>
        <v>79</v>
      </c>
      <c r="P9" s="7" t="s">
        <v>354</v>
      </c>
      <c r="Q9" s="7" t="s">
        <v>355</v>
      </c>
      <c r="R9" s="7" t="s">
        <v>356</v>
      </c>
      <c r="S9" s="7" t="s">
        <v>340</v>
      </c>
    </row>
    <row r="10" spans="1:19" ht="28.5">
      <c r="A10" s="7" t="s">
        <v>255</v>
      </c>
      <c r="B10" s="7" t="s">
        <v>223</v>
      </c>
      <c r="C10" s="7" t="s">
        <v>357</v>
      </c>
      <c r="D10" s="7" t="s">
        <v>335</v>
      </c>
      <c r="E10" s="7" t="s">
        <v>336</v>
      </c>
      <c r="F10" s="7">
        <v>8</v>
      </c>
      <c r="G10" s="7">
        <v>7</v>
      </c>
      <c r="H10" s="7">
        <v>7</v>
      </c>
      <c r="I10" s="7">
        <v>8</v>
      </c>
      <c r="J10" s="7">
        <v>8</v>
      </c>
      <c r="K10" s="7">
        <v>8</v>
      </c>
      <c r="L10" s="7">
        <v>8</v>
      </c>
      <c r="M10" s="7">
        <v>8</v>
      </c>
      <c r="N10" s="7">
        <v>8</v>
      </c>
      <c r="O10" s="7">
        <f t="shared" si="0"/>
        <v>78</v>
      </c>
      <c r="P10" s="7" t="s">
        <v>358</v>
      </c>
      <c r="Q10" s="7" t="s">
        <v>359</v>
      </c>
      <c r="R10" s="7" t="s">
        <v>360</v>
      </c>
      <c r="S10" s="7" t="s">
        <v>340</v>
      </c>
    </row>
    <row r="11" spans="1:19" ht="28.5">
      <c r="A11" s="7" t="s">
        <v>271</v>
      </c>
      <c r="B11" s="7" t="s">
        <v>231</v>
      </c>
      <c r="C11" s="7" t="s">
        <v>361</v>
      </c>
      <c r="D11" s="7" t="s">
        <v>335</v>
      </c>
      <c r="E11" s="7" t="s">
        <v>336</v>
      </c>
      <c r="F11" s="7">
        <v>7</v>
      </c>
      <c r="G11" s="7">
        <v>8</v>
      </c>
      <c r="H11" s="7">
        <v>7</v>
      </c>
      <c r="I11" s="7">
        <v>7</v>
      </c>
      <c r="J11" s="7">
        <v>7</v>
      </c>
      <c r="K11" s="7">
        <v>8</v>
      </c>
      <c r="L11" s="7">
        <v>7</v>
      </c>
      <c r="M11" s="7">
        <v>7</v>
      </c>
      <c r="N11" s="7">
        <v>7</v>
      </c>
      <c r="O11" s="7">
        <f t="shared" si="0"/>
        <v>72</v>
      </c>
      <c r="P11" s="7" t="s">
        <v>362</v>
      </c>
      <c r="Q11" s="7" t="s">
        <v>363</v>
      </c>
      <c r="R11" s="7" t="s">
        <v>364</v>
      </c>
      <c r="S11" s="7" t="s">
        <v>340</v>
      </c>
    </row>
    <row r="12" spans="1:19" ht="28.5">
      <c r="A12" s="7" t="s">
        <v>265</v>
      </c>
      <c r="B12" s="7" t="s">
        <v>231</v>
      </c>
      <c r="C12" s="7" t="s">
        <v>365</v>
      </c>
      <c r="D12" s="7" t="s">
        <v>335</v>
      </c>
      <c r="E12" s="7" t="s">
        <v>336</v>
      </c>
      <c r="F12" s="7">
        <v>7</v>
      </c>
      <c r="G12" s="7">
        <v>8</v>
      </c>
      <c r="H12" s="7">
        <v>7</v>
      </c>
      <c r="I12" s="7">
        <v>7</v>
      </c>
      <c r="J12" s="7">
        <v>7</v>
      </c>
      <c r="K12" s="7">
        <v>8</v>
      </c>
      <c r="L12" s="7">
        <v>7</v>
      </c>
      <c r="M12" s="7">
        <v>7</v>
      </c>
      <c r="N12" s="7">
        <v>6</v>
      </c>
      <c r="O12" s="7">
        <f t="shared" si="0"/>
        <v>71</v>
      </c>
      <c r="P12" s="7" t="s">
        <v>366</v>
      </c>
      <c r="Q12" s="7" t="s">
        <v>367</v>
      </c>
      <c r="R12" s="7" t="s">
        <v>368</v>
      </c>
      <c r="S12" s="7" t="s">
        <v>340</v>
      </c>
    </row>
    <row r="13" spans="1:19" ht="28.5">
      <c r="A13" s="7" t="s">
        <v>259</v>
      </c>
      <c r="B13" s="7" t="s">
        <v>231</v>
      </c>
      <c r="C13" s="7" t="s">
        <v>369</v>
      </c>
      <c r="D13" s="7" t="s">
        <v>335</v>
      </c>
      <c r="E13" s="7" t="s">
        <v>336</v>
      </c>
      <c r="F13" s="7">
        <v>7</v>
      </c>
      <c r="G13" s="7">
        <v>7</v>
      </c>
      <c r="H13" s="7">
        <v>6</v>
      </c>
      <c r="I13" s="7">
        <v>6</v>
      </c>
      <c r="J13" s="7">
        <v>7</v>
      </c>
      <c r="K13" s="7">
        <v>7</v>
      </c>
      <c r="L13" s="7">
        <v>6</v>
      </c>
      <c r="M13" s="7">
        <v>6</v>
      </c>
      <c r="N13" s="7">
        <v>6</v>
      </c>
      <c r="O13" s="7">
        <f t="shared" si="0"/>
        <v>64</v>
      </c>
      <c r="P13" s="7" t="s">
        <v>370</v>
      </c>
      <c r="Q13" s="7" t="s">
        <v>371</v>
      </c>
      <c r="R13" s="7" t="s">
        <v>372</v>
      </c>
      <c r="S13" s="7" t="s">
        <v>340</v>
      </c>
    </row>
    <row r="14" spans="1:19" ht="28.5">
      <c r="A14" s="7" t="s">
        <v>278</v>
      </c>
      <c r="B14" s="7" t="s">
        <v>223</v>
      </c>
      <c r="C14" s="7" t="s">
        <v>373</v>
      </c>
      <c r="D14" s="7" t="s">
        <v>335</v>
      </c>
      <c r="E14" s="7" t="s">
        <v>336</v>
      </c>
      <c r="F14" s="7">
        <v>7</v>
      </c>
      <c r="G14" s="7">
        <v>6</v>
      </c>
      <c r="H14" s="7">
        <v>6</v>
      </c>
      <c r="I14" s="7">
        <v>6</v>
      </c>
      <c r="J14" s="7">
        <v>6</v>
      </c>
      <c r="K14" s="7">
        <v>7</v>
      </c>
      <c r="L14" s="7">
        <v>6</v>
      </c>
      <c r="M14" s="7">
        <v>6</v>
      </c>
      <c r="N14" s="7">
        <v>7</v>
      </c>
      <c r="O14" s="7">
        <f t="shared" si="0"/>
        <v>63</v>
      </c>
      <c r="P14" s="7" t="s">
        <v>374</v>
      </c>
      <c r="Q14" s="7" t="s">
        <v>375</v>
      </c>
      <c r="R14" s="7" t="s">
        <v>376</v>
      </c>
      <c r="S14" s="7" t="s">
        <v>340</v>
      </c>
    </row>
    <row r="15" spans="1:19" ht="28.5">
      <c r="A15" s="7" t="s">
        <v>297</v>
      </c>
      <c r="B15" s="7" t="s">
        <v>231</v>
      </c>
      <c r="C15" s="7" t="s">
        <v>377</v>
      </c>
      <c r="D15" s="7" t="s">
        <v>335</v>
      </c>
      <c r="E15" s="7" t="s">
        <v>336</v>
      </c>
      <c r="F15" s="7">
        <v>6</v>
      </c>
      <c r="G15" s="7">
        <v>7</v>
      </c>
      <c r="H15" s="7">
        <v>6</v>
      </c>
      <c r="I15" s="7">
        <v>7</v>
      </c>
      <c r="J15" s="7">
        <v>6</v>
      </c>
      <c r="K15" s="7">
        <v>7</v>
      </c>
      <c r="L15" s="7">
        <v>5</v>
      </c>
      <c r="M15" s="7">
        <v>6</v>
      </c>
      <c r="N15" s="7">
        <v>5</v>
      </c>
      <c r="O15" s="7">
        <f t="shared" si="0"/>
        <v>61</v>
      </c>
      <c r="P15" s="7" t="s">
        <v>378</v>
      </c>
      <c r="Q15" s="7" t="s">
        <v>379</v>
      </c>
      <c r="R15" s="7" t="s">
        <v>380</v>
      </c>
      <c r="S15" s="7" t="s">
        <v>340</v>
      </c>
    </row>
    <row r="16" spans="1:19" ht="28.5">
      <c r="A16" s="7" t="s">
        <v>306</v>
      </c>
      <c r="B16" s="7" t="s">
        <v>231</v>
      </c>
      <c r="C16" s="7" t="s">
        <v>381</v>
      </c>
      <c r="D16" s="7" t="s">
        <v>335</v>
      </c>
      <c r="E16" s="7" t="s">
        <v>336</v>
      </c>
      <c r="F16" s="7">
        <v>5</v>
      </c>
      <c r="G16" s="7">
        <v>6</v>
      </c>
      <c r="H16" s="7">
        <v>5</v>
      </c>
      <c r="I16" s="7">
        <v>5</v>
      </c>
      <c r="J16" s="7">
        <v>5</v>
      </c>
      <c r="K16" s="7">
        <v>6</v>
      </c>
      <c r="L16" s="7">
        <v>5</v>
      </c>
      <c r="M16" s="7">
        <v>5</v>
      </c>
      <c r="N16" s="7">
        <v>6</v>
      </c>
      <c r="O16" s="7">
        <f t="shared" si="0"/>
        <v>53</v>
      </c>
      <c r="P16" s="7" t="s">
        <v>382</v>
      </c>
      <c r="Q16" s="7" t="s">
        <v>383</v>
      </c>
      <c r="R16" s="7" t="s">
        <v>384</v>
      </c>
      <c r="S16" s="7" t="s">
        <v>340</v>
      </c>
    </row>
    <row r="17" spans="1:19" ht="28.5">
      <c r="A17" s="7" t="s">
        <v>315</v>
      </c>
      <c r="B17" s="7" t="s">
        <v>231</v>
      </c>
      <c r="C17" s="7" t="s">
        <v>385</v>
      </c>
      <c r="D17" s="7" t="s">
        <v>335</v>
      </c>
      <c r="E17" s="7" t="s">
        <v>336</v>
      </c>
      <c r="F17" s="7">
        <v>5</v>
      </c>
      <c r="G17" s="7">
        <v>6</v>
      </c>
      <c r="H17" s="7">
        <v>5</v>
      </c>
      <c r="I17" s="7">
        <v>5</v>
      </c>
      <c r="J17" s="7">
        <v>5</v>
      </c>
      <c r="K17" s="7">
        <v>6</v>
      </c>
      <c r="L17" s="7">
        <v>5</v>
      </c>
      <c r="M17" s="7">
        <v>5</v>
      </c>
      <c r="N17" s="7">
        <v>8</v>
      </c>
      <c r="O17" s="7">
        <f t="shared" si="0"/>
        <v>56</v>
      </c>
      <c r="P17" s="7" t="s">
        <v>386</v>
      </c>
      <c r="Q17" s="7" t="s">
        <v>387</v>
      </c>
      <c r="R17" s="7" t="s">
        <v>388</v>
      </c>
      <c r="S17" s="7" t="s">
        <v>340</v>
      </c>
    </row>
  </sheetData>
  <conditionalFormatting sqref="F5:O17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/>
  </sheetViews>
  <sheetFormatPr defaultRowHeight="14.25"/>
  <cols>
    <col min="1" max="2" width="18" customWidth="1"/>
    <col min="3" max="3" width="12" customWidth="1"/>
    <col min="4" max="10" width="18" customWidth="1"/>
    <col min="11" max="11" width="32" customWidth="1"/>
  </cols>
  <sheetData>
    <row r="1" spans="1:11" ht="20.25">
      <c r="A1" s="1" t="s">
        <v>389</v>
      </c>
    </row>
    <row r="2" spans="1:11">
      <c r="A2" s="4" t="s">
        <v>390</v>
      </c>
    </row>
    <row r="4" spans="1:11" ht="30">
      <c r="A4" s="6" t="s">
        <v>197</v>
      </c>
      <c r="B4" s="6" t="s">
        <v>198</v>
      </c>
      <c r="C4" s="6" t="s">
        <v>199</v>
      </c>
      <c r="D4" s="6" t="s">
        <v>391</v>
      </c>
      <c r="E4" s="6" t="s">
        <v>392</v>
      </c>
      <c r="F4" s="6" t="s">
        <v>216</v>
      </c>
      <c r="G4" s="6" t="s">
        <v>217</v>
      </c>
      <c r="H4" s="6" t="s">
        <v>393</v>
      </c>
      <c r="I4" s="6" t="s">
        <v>394</v>
      </c>
      <c r="J4" s="6" t="s">
        <v>395</v>
      </c>
      <c r="K4" s="6" t="s">
        <v>396</v>
      </c>
    </row>
    <row r="5" spans="1:11" ht="28.5">
      <c r="A5" s="7" t="s">
        <v>397</v>
      </c>
      <c r="B5" s="7" t="s">
        <v>229</v>
      </c>
      <c r="C5" s="7">
        <v>26</v>
      </c>
      <c r="D5" s="7" t="s">
        <v>398</v>
      </c>
      <c r="E5" s="7" t="s">
        <v>399</v>
      </c>
      <c r="F5" s="7">
        <v>91</v>
      </c>
      <c r="G5" s="7">
        <v>94</v>
      </c>
      <c r="H5" s="7">
        <v>8500000</v>
      </c>
      <c r="I5" s="7">
        <v>9</v>
      </c>
      <c r="J5" s="7">
        <v>8</v>
      </c>
      <c r="K5" s="7" t="s">
        <v>400</v>
      </c>
    </row>
    <row r="6" spans="1:11" ht="28.5">
      <c r="A6" s="7" t="s">
        <v>401</v>
      </c>
      <c r="B6" s="7" t="s">
        <v>241</v>
      </c>
      <c r="C6" s="7">
        <v>27</v>
      </c>
      <c r="D6" s="7" t="s">
        <v>402</v>
      </c>
      <c r="E6" s="7" t="s">
        <v>403</v>
      </c>
      <c r="F6" s="7">
        <v>82</v>
      </c>
      <c r="G6" s="7">
        <v>87</v>
      </c>
      <c r="H6" s="7">
        <v>1800000</v>
      </c>
      <c r="I6" s="7">
        <v>7</v>
      </c>
      <c r="J6" s="7">
        <v>6</v>
      </c>
      <c r="K6" s="7" t="s">
        <v>404</v>
      </c>
    </row>
    <row r="7" spans="1:11" ht="28.5">
      <c r="A7" s="7" t="s">
        <v>405</v>
      </c>
      <c r="B7" s="7" t="s">
        <v>406</v>
      </c>
      <c r="C7" s="7">
        <v>26</v>
      </c>
      <c r="D7" s="7" t="s">
        <v>407</v>
      </c>
      <c r="E7" s="7" t="s">
        <v>403</v>
      </c>
      <c r="F7" s="7">
        <v>74</v>
      </c>
      <c r="G7" s="7">
        <v>80</v>
      </c>
      <c r="H7" s="7">
        <v>1100000</v>
      </c>
      <c r="I7" s="7">
        <v>6</v>
      </c>
      <c r="J7" s="7">
        <v>6</v>
      </c>
      <c r="K7" s="7" t="s">
        <v>408</v>
      </c>
    </row>
    <row r="8" spans="1:11">
      <c r="A8" s="7" t="s">
        <v>409</v>
      </c>
      <c r="B8" s="7" t="s">
        <v>274</v>
      </c>
      <c r="C8" s="7">
        <v>30</v>
      </c>
      <c r="D8" s="7" t="s">
        <v>410</v>
      </c>
      <c r="E8" s="7" t="s">
        <v>411</v>
      </c>
      <c r="F8" s="7">
        <v>77</v>
      </c>
      <c r="G8" s="7">
        <v>81</v>
      </c>
      <c r="H8" s="7">
        <v>900000</v>
      </c>
      <c r="I8" s="7">
        <v>6</v>
      </c>
      <c r="J8" s="7">
        <v>7</v>
      </c>
      <c r="K8" s="7" t="s">
        <v>412</v>
      </c>
    </row>
    <row r="9" spans="1:11" ht="28.5">
      <c r="A9" s="7" t="s">
        <v>413</v>
      </c>
      <c r="B9" s="7" t="s">
        <v>274</v>
      </c>
      <c r="C9" s="7">
        <v>27</v>
      </c>
      <c r="D9" s="7" t="s">
        <v>414</v>
      </c>
      <c r="E9" s="7" t="s">
        <v>403</v>
      </c>
      <c r="F9" s="7">
        <v>84</v>
      </c>
      <c r="G9" s="7">
        <v>88</v>
      </c>
      <c r="H9" s="7">
        <v>2200000</v>
      </c>
      <c r="I9" s="7">
        <v>7</v>
      </c>
      <c r="J9" s="7">
        <v>6</v>
      </c>
      <c r="K9" s="7" t="s">
        <v>415</v>
      </c>
    </row>
    <row r="10" spans="1:11" ht="28.5">
      <c r="A10" s="7" t="s">
        <v>416</v>
      </c>
      <c r="B10" s="7" t="s">
        <v>282</v>
      </c>
      <c r="C10" s="7">
        <v>23</v>
      </c>
      <c r="D10" s="7" t="s">
        <v>417</v>
      </c>
      <c r="E10" s="7" t="s">
        <v>403</v>
      </c>
      <c r="F10" s="7">
        <v>84</v>
      </c>
      <c r="G10" s="7">
        <v>92</v>
      </c>
      <c r="H10" s="7">
        <v>3000000</v>
      </c>
      <c r="I10" s="7">
        <v>8</v>
      </c>
      <c r="J10" s="7">
        <v>5</v>
      </c>
      <c r="K10" s="7" t="s">
        <v>418</v>
      </c>
    </row>
    <row r="11" spans="1:11" ht="28.5">
      <c r="A11" s="7" t="s">
        <v>419</v>
      </c>
      <c r="B11" s="7" t="s">
        <v>420</v>
      </c>
      <c r="C11" s="7">
        <v>26</v>
      </c>
      <c r="D11" s="7" t="s">
        <v>421</v>
      </c>
      <c r="E11" s="7" t="s">
        <v>403</v>
      </c>
      <c r="F11" s="7">
        <v>82</v>
      </c>
      <c r="G11" s="7">
        <v>87</v>
      </c>
      <c r="H11" s="7">
        <v>2500000</v>
      </c>
      <c r="I11" s="7">
        <v>7</v>
      </c>
      <c r="J11" s="7">
        <v>5</v>
      </c>
      <c r="K11" s="7" t="s">
        <v>422</v>
      </c>
    </row>
    <row r="12" spans="1:11" ht="28.5">
      <c r="A12" s="7" t="s">
        <v>423</v>
      </c>
      <c r="B12" s="7" t="s">
        <v>274</v>
      </c>
      <c r="C12" s="7">
        <v>28</v>
      </c>
      <c r="D12" s="7" t="s">
        <v>424</v>
      </c>
      <c r="E12" s="7" t="s">
        <v>403</v>
      </c>
      <c r="F12" s="7">
        <v>78</v>
      </c>
      <c r="G12" s="7">
        <v>84</v>
      </c>
      <c r="H12" s="7">
        <v>1500000</v>
      </c>
      <c r="I12" s="7">
        <v>7</v>
      </c>
      <c r="J12" s="7">
        <v>7</v>
      </c>
      <c r="K12" s="7" t="s">
        <v>425</v>
      </c>
    </row>
    <row r="13" spans="1:11" ht="28.5">
      <c r="A13" s="7" t="s">
        <v>426</v>
      </c>
      <c r="B13" s="7" t="s">
        <v>245</v>
      </c>
      <c r="C13" s="7">
        <v>26</v>
      </c>
      <c r="D13" s="7" t="s">
        <v>424</v>
      </c>
      <c r="E13" s="7" t="s">
        <v>403</v>
      </c>
      <c r="F13" s="7">
        <v>77</v>
      </c>
      <c r="G13" s="7">
        <v>83</v>
      </c>
      <c r="H13" s="7">
        <v>1200000</v>
      </c>
      <c r="I13" s="7">
        <v>6</v>
      </c>
      <c r="J13" s="7">
        <v>6</v>
      </c>
      <c r="K13" s="7" t="s">
        <v>427</v>
      </c>
    </row>
    <row r="14" spans="1:11">
      <c r="A14" s="7" t="s">
        <v>428</v>
      </c>
      <c r="B14" s="7" t="s">
        <v>229</v>
      </c>
      <c r="C14" s="7">
        <v>25</v>
      </c>
      <c r="D14" s="7" t="s">
        <v>429</v>
      </c>
      <c r="E14" s="7" t="s">
        <v>430</v>
      </c>
      <c r="F14" s="7">
        <v>76</v>
      </c>
      <c r="G14" s="7">
        <v>86</v>
      </c>
      <c r="H14" s="7">
        <v>1000000</v>
      </c>
      <c r="I14" s="7">
        <v>7</v>
      </c>
      <c r="J14" s="7">
        <v>7</v>
      </c>
      <c r="K14" s="7" t="s">
        <v>431</v>
      </c>
    </row>
    <row r="15" spans="1:11" ht="28.5">
      <c r="A15" s="7" t="s">
        <v>432</v>
      </c>
      <c r="B15" s="7" t="s">
        <v>229</v>
      </c>
      <c r="C15" s="7">
        <v>20</v>
      </c>
      <c r="D15" s="7" t="s">
        <v>433</v>
      </c>
      <c r="E15" s="7" t="s">
        <v>430</v>
      </c>
      <c r="F15" s="7">
        <v>74</v>
      </c>
      <c r="G15" s="7">
        <v>88</v>
      </c>
      <c r="H15" s="7">
        <v>1200000</v>
      </c>
      <c r="I15" s="7">
        <v>8</v>
      </c>
      <c r="J15" s="7">
        <v>7</v>
      </c>
      <c r="K15" s="7" t="s">
        <v>434</v>
      </c>
    </row>
    <row r="16" spans="1:11">
      <c r="A16" s="7" t="s">
        <v>288</v>
      </c>
      <c r="B16" s="7" t="s">
        <v>289</v>
      </c>
      <c r="C16" s="7">
        <v>24</v>
      </c>
      <c r="D16" s="7" t="s">
        <v>435</v>
      </c>
      <c r="E16" s="7" t="s">
        <v>436</v>
      </c>
      <c r="F16" s="7">
        <v>77</v>
      </c>
      <c r="G16" s="7">
        <v>90</v>
      </c>
      <c r="H16" s="7">
        <v>3000000</v>
      </c>
      <c r="I16" s="7">
        <v>8</v>
      </c>
      <c r="J16" s="7">
        <v>6</v>
      </c>
      <c r="K16" s="7" t="s">
        <v>437</v>
      </c>
    </row>
    <row r="17" spans="1:11">
      <c r="A17" s="7" t="s">
        <v>276</v>
      </c>
      <c r="B17" s="7" t="s">
        <v>277</v>
      </c>
      <c r="C17" s="7">
        <v>23</v>
      </c>
      <c r="D17" s="7" t="s">
        <v>435</v>
      </c>
      <c r="E17" s="7" t="s">
        <v>436</v>
      </c>
      <c r="F17" s="7">
        <v>79</v>
      </c>
      <c r="G17" s="7">
        <v>91</v>
      </c>
      <c r="H17" s="7">
        <v>3000000</v>
      </c>
      <c r="I17" s="7">
        <v>8</v>
      </c>
      <c r="J17" s="7">
        <v>6</v>
      </c>
      <c r="K17" s="7" t="s">
        <v>438</v>
      </c>
    </row>
    <row r="18" spans="1:11">
      <c r="A18" s="7" t="s">
        <v>439</v>
      </c>
      <c r="B18" s="7" t="s">
        <v>282</v>
      </c>
      <c r="C18" s="7">
        <v>47</v>
      </c>
      <c r="D18" s="7" t="s">
        <v>440</v>
      </c>
      <c r="E18" s="7" t="s">
        <v>441</v>
      </c>
      <c r="F18" s="7">
        <v>80</v>
      </c>
      <c r="G18" s="7">
        <v>75</v>
      </c>
      <c r="H18" s="7">
        <v>1000000</v>
      </c>
      <c r="I18" s="7">
        <v>5</v>
      </c>
      <c r="J18" s="7">
        <v>8</v>
      </c>
      <c r="K18" s="7" t="s">
        <v>442</v>
      </c>
    </row>
    <row r="19" spans="1:11">
      <c r="A19" s="7" t="s">
        <v>443</v>
      </c>
      <c r="B19" s="7" t="s">
        <v>444</v>
      </c>
      <c r="C19" s="7">
        <v>37</v>
      </c>
      <c r="D19" s="7" t="s">
        <v>440</v>
      </c>
      <c r="E19" s="7" t="s">
        <v>403</v>
      </c>
      <c r="F19" s="7">
        <v>74</v>
      </c>
      <c r="G19" s="7">
        <v>77</v>
      </c>
      <c r="H19" s="7">
        <v>800000</v>
      </c>
      <c r="I19" s="7">
        <v>5</v>
      </c>
      <c r="J19" s="7">
        <v>7</v>
      </c>
      <c r="K19" s="7" t="s">
        <v>445</v>
      </c>
    </row>
    <row r="20" spans="1:11">
      <c r="A20" s="7" t="s">
        <v>446</v>
      </c>
      <c r="B20" s="7" t="s">
        <v>229</v>
      </c>
      <c r="C20" s="7">
        <v>29</v>
      </c>
      <c r="D20" s="7" t="s">
        <v>447</v>
      </c>
      <c r="E20" s="7" t="s">
        <v>403</v>
      </c>
      <c r="F20" s="7">
        <v>70</v>
      </c>
      <c r="G20" s="7">
        <v>74</v>
      </c>
      <c r="H20" s="7">
        <v>600000</v>
      </c>
      <c r="I20" s="7">
        <v>4</v>
      </c>
      <c r="J20" s="7">
        <v>6</v>
      </c>
      <c r="K20" s="7" t="s">
        <v>448</v>
      </c>
    </row>
    <row r="21" spans="1:11">
      <c r="A21" s="7" t="s">
        <v>449</v>
      </c>
      <c r="B21" s="7" t="s">
        <v>229</v>
      </c>
      <c r="C21" s="7">
        <v>29</v>
      </c>
      <c r="D21" s="7" t="s">
        <v>440</v>
      </c>
      <c r="E21" s="7" t="s">
        <v>403</v>
      </c>
      <c r="F21" s="7">
        <v>75</v>
      </c>
      <c r="G21" s="7">
        <v>80</v>
      </c>
      <c r="H21" s="7">
        <v>850000</v>
      </c>
      <c r="I21" s="7">
        <v>5</v>
      </c>
      <c r="J21" s="7">
        <v>6</v>
      </c>
      <c r="K21" s="7" t="s">
        <v>450</v>
      </c>
    </row>
    <row r="22" spans="1:11">
      <c r="A22" s="7" t="s">
        <v>451</v>
      </c>
      <c r="B22" s="7" t="s">
        <v>235</v>
      </c>
      <c r="C22" s="7">
        <v>27</v>
      </c>
      <c r="D22" s="7" t="s">
        <v>447</v>
      </c>
      <c r="E22" s="7" t="s">
        <v>403</v>
      </c>
      <c r="F22" s="7">
        <v>71</v>
      </c>
      <c r="G22" s="7">
        <v>78</v>
      </c>
      <c r="H22" s="7">
        <v>650000</v>
      </c>
      <c r="I22" s="7">
        <v>4</v>
      </c>
      <c r="J22" s="7">
        <v>6</v>
      </c>
      <c r="K22" s="7" t="s">
        <v>452</v>
      </c>
    </row>
    <row r="23" spans="1:11">
      <c r="A23" s="7" t="s">
        <v>453</v>
      </c>
      <c r="B23" s="7" t="s">
        <v>289</v>
      </c>
      <c r="C23" s="7">
        <v>25</v>
      </c>
      <c r="D23" s="7" t="s">
        <v>454</v>
      </c>
      <c r="E23" s="7" t="s">
        <v>430</v>
      </c>
      <c r="F23" s="7">
        <v>77</v>
      </c>
      <c r="G23" s="7">
        <v>86</v>
      </c>
      <c r="H23" s="7">
        <v>1300000</v>
      </c>
      <c r="I23" s="7">
        <v>7</v>
      </c>
      <c r="J23" s="7">
        <v>5</v>
      </c>
      <c r="K23" s="7" t="s">
        <v>455</v>
      </c>
    </row>
    <row r="24" spans="1:11" ht="28.5">
      <c r="A24" s="7" t="s">
        <v>456</v>
      </c>
      <c r="B24" s="7" t="s">
        <v>235</v>
      </c>
      <c r="C24" s="7">
        <v>24</v>
      </c>
      <c r="D24" s="7" t="s">
        <v>421</v>
      </c>
      <c r="E24" s="7" t="s">
        <v>403</v>
      </c>
      <c r="F24" s="7">
        <v>80</v>
      </c>
      <c r="G24" s="7">
        <v>88</v>
      </c>
      <c r="H24" s="7">
        <v>2000000</v>
      </c>
      <c r="I24" s="7">
        <v>7</v>
      </c>
      <c r="J24" s="7">
        <v>5</v>
      </c>
      <c r="K24" s="7" t="s">
        <v>457</v>
      </c>
    </row>
  </sheetData>
  <conditionalFormatting sqref="F5:I2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9"/>
  <sheetViews>
    <sheetView tabSelected="1" workbookViewId="0"/>
  </sheetViews>
  <sheetFormatPr defaultRowHeight="14.25"/>
  <cols>
    <col min="1" max="2" width="18" customWidth="1"/>
    <col min="3" max="3" width="12" customWidth="1"/>
    <col min="4" max="16" width="18" customWidth="1"/>
    <col min="17" max="18" width="32" customWidth="1"/>
  </cols>
  <sheetData>
    <row r="1" spans="1:18" ht="20.25">
      <c r="A1" s="1" t="s">
        <v>458</v>
      </c>
    </row>
    <row r="2" spans="1:18">
      <c r="A2" s="4" t="s">
        <v>459</v>
      </c>
    </row>
    <row r="4" spans="1:18" ht="30">
      <c r="A4" s="6" t="s">
        <v>460</v>
      </c>
      <c r="B4" s="6" t="s">
        <v>198</v>
      </c>
      <c r="C4" s="6" t="s">
        <v>199</v>
      </c>
      <c r="D4" s="6" t="s">
        <v>461</v>
      </c>
      <c r="E4" s="6" t="s">
        <v>462</v>
      </c>
      <c r="F4" s="6" t="s">
        <v>463</v>
      </c>
      <c r="G4" s="6" t="s">
        <v>464</v>
      </c>
      <c r="H4" s="6" t="s">
        <v>208</v>
      </c>
      <c r="I4" s="6" t="s">
        <v>465</v>
      </c>
      <c r="J4" s="6" t="s">
        <v>466</v>
      </c>
      <c r="K4" s="6" t="s">
        <v>467</v>
      </c>
      <c r="L4" s="6" t="s">
        <v>217</v>
      </c>
      <c r="M4" s="6" t="s">
        <v>468</v>
      </c>
      <c r="N4" s="6" t="s">
        <v>469</v>
      </c>
      <c r="O4" s="6" t="s">
        <v>470</v>
      </c>
      <c r="P4" s="6" t="s">
        <v>471</v>
      </c>
      <c r="Q4" s="6" t="s">
        <v>219</v>
      </c>
      <c r="R4" s="6" t="s">
        <v>396</v>
      </c>
    </row>
    <row r="5" spans="1:18">
      <c r="A5" s="7" t="s">
        <v>472</v>
      </c>
      <c r="B5" s="7" t="s">
        <v>229</v>
      </c>
      <c r="C5" s="7">
        <v>16</v>
      </c>
      <c r="D5" s="7" t="s">
        <v>473</v>
      </c>
      <c r="E5" s="7">
        <v>7</v>
      </c>
      <c r="F5" s="7">
        <v>7</v>
      </c>
      <c r="G5" s="7">
        <v>8</v>
      </c>
      <c r="H5" s="7">
        <v>6</v>
      </c>
      <c r="I5" s="7">
        <v>7</v>
      </c>
      <c r="J5" s="7">
        <v>8</v>
      </c>
      <c r="K5" s="7">
        <v>9</v>
      </c>
      <c r="L5" s="7">
        <v>93</v>
      </c>
      <c r="M5" s="7">
        <v>5</v>
      </c>
      <c r="N5" s="7">
        <v>250000</v>
      </c>
      <c r="O5" s="7">
        <v>400000</v>
      </c>
      <c r="P5" s="7" t="s">
        <v>474</v>
      </c>
      <c r="Q5" s="7" t="s">
        <v>475</v>
      </c>
      <c r="R5" s="7" t="s">
        <v>476</v>
      </c>
    </row>
    <row r="6" spans="1:18">
      <c r="A6" s="7" t="s">
        <v>477</v>
      </c>
      <c r="B6" s="7" t="s">
        <v>478</v>
      </c>
      <c r="C6" s="7">
        <v>17</v>
      </c>
      <c r="D6" s="7" t="s">
        <v>479</v>
      </c>
      <c r="E6" s="7">
        <v>5</v>
      </c>
      <c r="F6" s="7">
        <v>9</v>
      </c>
      <c r="G6" s="7">
        <v>8</v>
      </c>
      <c r="H6" s="7">
        <v>7</v>
      </c>
      <c r="I6" s="7">
        <v>7</v>
      </c>
      <c r="J6" s="7">
        <v>8</v>
      </c>
      <c r="K6" s="7">
        <v>8</v>
      </c>
      <c r="L6" s="7">
        <v>91</v>
      </c>
      <c r="M6" s="7">
        <v>4</v>
      </c>
      <c r="N6" s="7">
        <v>300000</v>
      </c>
      <c r="O6" s="7">
        <v>450000</v>
      </c>
      <c r="P6" s="7" t="s">
        <v>474</v>
      </c>
      <c r="Q6" s="7" t="s">
        <v>480</v>
      </c>
      <c r="R6" s="7" t="s">
        <v>476</v>
      </c>
    </row>
    <row r="7" spans="1:18">
      <c r="A7" s="7" t="s">
        <v>481</v>
      </c>
      <c r="B7" s="7" t="s">
        <v>274</v>
      </c>
      <c r="C7" s="7">
        <v>15</v>
      </c>
      <c r="D7" s="7" t="s">
        <v>482</v>
      </c>
      <c r="E7" s="7">
        <v>5</v>
      </c>
      <c r="F7" s="7">
        <v>8</v>
      </c>
      <c r="G7" s="7">
        <v>9</v>
      </c>
      <c r="H7" s="7">
        <v>6</v>
      </c>
      <c r="I7" s="7">
        <v>6</v>
      </c>
      <c r="J7" s="7">
        <v>9</v>
      </c>
      <c r="K7" s="7">
        <v>10</v>
      </c>
      <c r="L7" s="7">
        <v>94</v>
      </c>
      <c r="M7" s="7">
        <v>6</v>
      </c>
      <c r="N7" s="7">
        <v>350000</v>
      </c>
      <c r="O7" s="7">
        <v>500000</v>
      </c>
      <c r="P7" s="7" t="s">
        <v>178</v>
      </c>
      <c r="Q7" s="7" t="s">
        <v>483</v>
      </c>
      <c r="R7" s="7" t="s">
        <v>476</v>
      </c>
    </row>
    <row r="8" spans="1:18">
      <c r="A8" s="7" t="s">
        <v>484</v>
      </c>
      <c r="B8" s="7" t="s">
        <v>239</v>
      </c>
      <c r="C8" s="7">
        <v>17</v>
      </c>
      <c r="D8" s="7" t="s">
        <v>485</v>
      </c>
      <c r="E8" s="7">
        <v>6</v>
      </c>
      <c r="F8" s="7">
        <v>8</v>
      </c>
      <c r="G8" s="7">
        <v>8</v>
      </c>
      <c r="H8" s="7">
        <v>7</v>
      </c>
      <c r="I8" s="7">
        <v>8</v>
      </c>
      <c r="J8" s="7">
        <v>8</v>
      </c>
      <c r="K8" s="7">
        <v>8</v>
      </c>
      <c r="L8" s="7">
        <v>90</v>
      </c>
      <c r="M8" s="7">
        <v>4</v>
      </c>
      <c r="N8" s="7">
        <v>275000</v>
      </c>
      <c r="O8" s="7">
        <v>425000</v>
      </c>
      <c r="P8" s="7" t="s">
        <v>474</v>
      </c>
      <c r="Q8" s="7" t="s">
        <v>486</v>
      </c>
      <c r="R8" s="7" t="s">
        <v>476</v>
      </c>
    </row>
    <row r="9" spans="1:18" ht="28.5">
      <c r="A9" s="7" t="s">
        <v>487</v>
      </c>
      <c r="B9" s="7" t="s">
        <v>406</v>
      </c>
      <c r="C9" s="7">
        <v>16</v>
      </c>
      <c r="D9" s="7" t="s">
        <v>488</v>
      </c>
      <c r="E9" s="7">
        <v>5</v>
      </c>
      <c r="F9" s="7">
        <v>8</v>
      </c>
      <c r="G9" s="7">
        <v>8</v>
      </c>
      <c r="H9" s="7">
        <v>7</v>
      </c>
      <c r="I9" s="7">
        <v>8</v>
      </c>
      <c r="J9" s="7">
        <v>8</v>
      </c>
      <c r="K9" s="7">
        <v>8</v>
      </c>
      <c r="L9" s="7">
        <v>89</v>
      </c>
      <c r="M9" s="7">
        <v>5</v>
      </c>
      <c r="N9" s="7">
        <v>220000</v>
      </c>
      <c r="O9" s="7">
        <v>375000</v>
      </c>
      <c r="P9" s="7" t="s">
        <v>474</v>
      </c>
      <c r="Q9" s="7" t="s">
        <v>489</v>
      </c>
      <c r="R9" s="7" t="s">
        <v>476</v>
      </c>
    </row>
    <row r="10" spans="1:18">
      <c r="A10" s="7" t="s">
        <v>490</v>
      </c>
      <c r="B10" s="7" t="s">
        <v>301</v>
      </c>
      <c r="C10" s="7">
        <v>17</v>
      </c>
      <c r="D10" s="7" t="s">
        <v>479</v>
      </c>
      <c r="E10" s="7">
        <v>6</v>
      </c>
      <c r="F10" s="7">
        <v>7</v>
      </c>
      <c r="G10" s="7">
        <v>8</v>
      </c>
      <c r="H10" s="7">
        <v>7</v>
      </c>
      <c r="I10" s="7">
        <v>8</v>
      </c>
      <c r="J10" s="7">
        <v>8</v>
      </c>
      <c r="K10" s="7">
        <v>8</v>
      </c>
      <c r="L10" s="7">
        <v>88</v>
      </c>
      <c r="M10" s="7">
        <v>4</v>
      </c>
      <c r="N10" s="7">
        <v>240000</v>
      </c>
      <c r="O10" s="7">
        <v>380000</v>
      </c>
      <c r="P10" s="7" t="s">
        <v>474</v>
      </c>
      <c r="Q10" s="7" t="s">
        <v>491</v>
      </c>
      <c r="R10" s="7" t="s">
        <v>476</v>
      </c>
    </row>
    <row r="11" spans="1:18">
      <c r="A11" s="7" t="s">
        <v>492</v>
      </c>
      <c r="B11" s="7" t="s">
        <v>493</v>
      </c>
      <c r="C11" s="7">
        <v>16</v>
      </c>
      <c r="D11" s="7" t="s">
        <v>482</v>
      </c>
      <c r="E11" s="7">
        <v>6</v>
      </c>
      <c r="F11" s="7">
        <v>8</v>
      </c>
      <c r="G11" s="7">
        <v>9</v>
      </c>
      <c r="H11" s="7">
        <v>6</v>
      </c>
      <c r="I11" s="7">
        <v>6</v>
      </c>
      <c r="J11" s="7">
        <v>8</v>
      </c>
      <c r="K11" s="7">
        <v>9</v>
      </c>
      <c r="L11" s="7">
        <v>92</v>
      </c>
      <c r="M11" s="7">
        <v>6</v>
      </c>
      <c r="N11" s="7">
        <v>310000</v>
      </c>
      <c r="O11" s="7">
        <v>450000</v>
      </c>
      <c r="P11" s="7" t="s">
        <v>178</v>
      </c>
      <c r="Q11" s="7" t="s">
        <v>494</v>
      </c>
      <c r="R11" s="7" t="s">
        <v>476</v>
      </c>
    </row>
    <row r="12" spans="1:18">
      <c r="A12" s="7" t="s">
        <v>495</v>
      </c>
      <c r="B12" s="7" t="s">
        <v>229</v>
      </c>
      <c r="C12" s="7">
        <v>17</v>
      </c>
      <c r="D12" s="7" t="s">
        <v>485</v>
      </c>
      <c r="E12" s="7">
        <v>8</v>
      </c>
      <c r="F12" s="7">
        <v>6</v>
      </c>
      <c r="G12" s="7">
        <v>7</v>
      </c>
      <c r="H12" s="7">
        <v>7</v>
      </c>
      <c r="I12" s="7">
        <v>7</v>
      </c>
      <c r="J12" s="7">
        <v>7</v>
      </c>
      <c r="K12" s="7">
        <v>8</v>
      </c>
      <c r="L12" s="7">
        <v>87</v>
      </c>
      <c r="M12" s="7">
        <v>4</v>
      </c>
      <c r="N12" s="7">
        <v>200000</v>
      </c>
      <c r="O12" s="7">
        <v>350000</v>
      </c>
      <c r="P12" s="7" t="s">
        <v>189</v>
      </c>
      <c r="Q12" s="7" t="s">
        <v>496</v>
      </c>
      <c r="R12" s="7" t="s">
        <v>476</v>
      </c>
    </row>
    <row r="13" spans="1:18">
      <c r="A13" s="7" t="s">
        <v>497</v>
      </c>
      <c r="B13" s="7" t="s">
        <v>498</v>
      </c>
      <c r="C13" s="7">
        <v>15</v>
      </c>
      <c r="D13" s="7" t="s">
        <v>482</v>
      </c>
      <c r="E13" s="7">
        <v>4</v>
      </c>
      <c r="F13" s="7">
        <v>9</v>
      </c>
      <c r="G13" s="7">
        <v>8</v>
      </c>
      <c r="H13" s="7">
        <v>6</v>
      </c>
      <c r="I13" s="7">
        <v>7</v>
      </c>
      <c r="J13" s="7">
        <v>9</v>
      </c>
      <c r="K13" s="7">
        <v>9</v>
      </c>
      <c r="L13" s="7">
        <v>91</v>
      </c>
      <c r="M13" s="7">
        <v>6</v>
      </c>
      <c r="N13" s="7">
        <v>280000</v>
      </c>
      <c r="O13" s="7">
        <v>420000</v>
      </c>
      <c r="P13" s="7" t="s">
        <v>474</v>
      </c>
      <c r="Q13" s="7" t="s">
        <v>499</v>
      </c>
      <c r="R13" s="7" t="s">
        <v>476</v>
      </c>
    </row>
    <row r="14" spans="1:18">
      <c r="A14" s="7" t="s">
        <v>500</v>
      </c>
      <c r="B14" s="7" t="s">
        <v>289</v>
      </c>
      <c r="C14" s="7">
        <v>16</v>
      </c>
      <c r="D14" s="7" t="s">
        <v>479</v>
      </c>
      <c r="E14" s="7">
        <v>5</v>
      </c>
      <c r="F14" s="7">
        <v>8</v>
      </c>
      <c r="G14" s="7">
        <v>8</v>
      </c>
      <c r="H14" s="7">
        <v>7</v>
      </c>
      <c r="I14" s="7">
        <v>7</v>
      </c>
      <c r="J14" s="7">
        <v>9</v>
      </c>
      <c r="K14" s="7">
        <v>8</v>
      </c>
      <c r="L14" s="7">
        <v>90</v>
      </c>
      <c r="M14" s="7">
        <v>5</v>
      </c>
      <c r="N14" s="7">
        <v>260000</v>
      </c>
      <c r="O14" s="7">
        <v>400000</v>
      </c>
      <c r="P14" s="7" t="s">
        <v>474</v>
      </c>
      <c r="Q14" s="7" t="s">
        <v>501</v>
      </c>
      <c r="R14" s="7" t="s">
        <v>476</v>
      </c>
    </row>
    <row r="15" spans="1:18">
      <c r="A15" s="7" t="s">
        <v>502</v>
      </c>
      <c r="B15" s="7" t="s">
        <v>229</v>
      </c>
      <c r="C15" s="7">
        <v>16</v>
      </c>
      <c r="D15" s="7" t="s">
        <v>482</v>
      </c>
      <c r="E15" s="7">
        <v>7</v>
      </c>
      <c r="F15" s="7">
        <v>7</v>
      </c>
      <c r="G15" s="7">
        <v>8</v>
      </c>
      <c r="H15" s="7">
        <v>7</v>
      </c>
      <c r="I15" s="7">
        <v>8</v>
      </c>
      <c r="J15" s="7">
        <v>8</v>
      </c>
      <c r="K15" s="7">
        <v>9</v>
      </c>
      <c r="L15" s="7">
        <v>92</v>
      </c>
      <c r="M15" s="7">
        <v>5</v>
      </c>
      <c r="N15" s="7">
        <v>300000</v>
      </c>
      <c r="O15" s="7">
        <v>450000</v>
      </c>
      <c r="P15" s="7" t="s">
        <v>474</v>
      </c>
      <c r="Q15" s="7" t="s">
        <v>503</v>
      </c>
      <c r="R15" s="7" t="s">
        <v>476</v>
      </c>
    </row>
    <row r="16" spans="1:18" ht="28.5">
      <c r="A16" s="7" t="s">
        <v>504</v>
      </c>
      <c r="B16" s="7" t="s">
        <v>235</v>
      </c>
      <c r="C16" s="7">
        <v>17</v>
      </c>
      <c r="D16" s="7" t="s">
        <v>479</v>
      </c>
      <c r="E16" s="7">
        <v>5</v>
      </c>
      <c r="F16" s="7">
        <v>8</v>
      </c>
      <c r="G16" s="7">
        <v>7</v>
      </c>
      <c r="H16" s="7">
        <v>8</v>
      </c>
      <c r="I16" s="7">
        <v>8</v>
      </c>
      <c r="J16" s="7">
        <v>8</v>
      </c>
      <c r="K16" s="7">
        <v>8</v>
      </c>
      <c r="L16" s="7">
        <v>88</v>
      </c>
      <c r="M16" s="7">
        <v>4</v>
      </c>
      <c r="N16" s="7">
        <v>230000</v>
      </c>
      <c r="O16" s="7">
        <v>360000</v>
      </c>
      <c r="P16" s="7" t="s">
        <v>189</v>
      </c>
      <c r="Q16" s="7" t="s">
        <v>505</v>
      </c>
      <c r="R16" s="7" t="s">
        <v>476</v>
      </c>
    </row>
    <row r="17" spans="1:18">
      <c r="A17" s="7" t="s">
        <v>506</v>
      </c>
      <c r="B17" s="7" t="s">
        <v>507</v>
      </c>
      <c r="C17" s="7">
        <v>16</v>
      </c>
      <c r="D17" s="7" t="s">
        <v>482</v>
      </c>
      <c r="E17" s="7">
        <v>4</v>
      </c>
      <c r="F17" s="7">
        <v>8</v>
      </c>
      <c r="G17" s="7">
        <v>8</v>
      </c>
      <c r="H17" s="7">
        <v>6</v>
      </c>
      <c r="I17" s="7">
        <v>7</v>
      </c>
      <c r="J17" s="7">
        <v>9</v>
      </c>
      <c r="K17" s="7">
        <v>9</v>
      </c>
      <c r="L17" s="7">
        <v>90</v>
      </c>
      <c r="M17" s="7">
        <v>6</v>
      </c>
      <c r="N17" s="7">
        <v>260000</v>
      </c>
      <c r="O17" s="7">
        <v>430000</v>
      </c>
      <c r="P17" s="7" t="s">
        <v>474</v>
      </c>
      <c r="Q17" s="7" t="s">
        <v>508</v>
      </c>
      <c r="R17" s="7" t="s">
        <v>476</v>
      </c>
    </row>
    <row r="18" spans="1:18">
      <c r="A18" s="7" t="s">
        <v>509</v>
      </c>
      <c r="B18" s="7" t="s">
        <v>262</v>
      </c>
      <c r="C18" s="7">
        <v>17</v>
      </c>
      <c r="D18" s="7" t="s">
        <v>510</v>
      </c>
      <c r="E18" s="7">
        <v>7</v>
      </c>
      <c r="F18" s="7">
        <v>7</v>
      </c>
      <c r="G18" s="7">
        <v>7</v>
      </c>
      <c r="H18" s="7">
        <v>7</v>
      </c>
      <c r="I18" s="7">
        <v>7</v>
      </c>
      <c r="J18" s="7">
        <v>7</v>
      </c>
      <c r="K18" s="7">
        <v>8</v>
      </c>
      <c r="L18" s="7">
        <v>87</v>
      </c>
      <c r="M18" s="7">
        <v>4</v>
      </c>
      <c r="N18" s="7">
        <v>210000</v>
      </c>
      <c r="O18" s="7">
        <v>340000</v>
      </c>
      <c r="P18" s="7" t="s">
        <v>189</v>
      </c>
      <c r="Q18" s="7" t="s">
        <v>511</v>
      </c>
      <c r="R18" s="7" t="s">
        <v>476</v>
      </c>
    </row>
    <row r="19" spans="1:18">
      <c r="A19" s="7" t="s">
        <v>512</v>
      </c>
      <c r="B19" s="7" t="s">
        <v>513</v>
      </c>
      <c r="C19" s="7">
        <v>15</v>
      </c>
      <c r="D19" s="7" t="s">
        <v>482</v>
      </c>
      <c r="E19" s="7">
        <v>5</v>
      </c>
      <c r="F19" s="7">
        <v>8</v>
      </c>
      <c r="G19" s="7">
        <v>9</v>
      </c>
      <c r="H19" s="7">
        <v>6</v>
      </c>
      <c r="I19" s="7">
        <v>6</v>
      </c>
      <c r="J19" s="7">
        <v>8</v>
      </c>
      <c r="K19" s="7">
        <v>9</v>
      </c>
      <c r="L19" s="7">
        <v>91</v>
      </c>
      <c r="M19" s="7">
        <v>6</v>
      </c>
      <c r="N19" s="7">
        <v>290000</v>
      </c>
      <c r="O19" s="7">
        <v>440000</v>
      </c>
      <c r="P19" s="7" t="s">
        <v>178</v>
      </c>
      <c r="Q19" s="7" t="s">
        <v>514</v>
      </c>
      <c r="R19" s="7" t="s">
        <v>476</v>
      </c>
    </row>
  </sheetData>
  <conditionalFormatting sqref="E5:L1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4.25"/>
  <cols>
    <col min="1" max="1" width="18" customWidth="1"/>
    <col min="2" max="4" width="32" customWidth="1"/>
  </cols>
  <sheetData>
    <row r="1" spans="1:4" ht="20.25">
      <c r="A1" s="1" t="s">
        <v>515</v>
      </c>
    </row>
    <row r="3" spans="1:4" ht="15">
      <c r="A3" s="6" t="s">
        <v>516</v>
      </c>
      <c r="B3" s="6" t="s">
        <v>517</v>
      </c>
      <c r="C3" s="6" t="s">
        <v>518</v>
      </c>
      <c r="D3" s="6" t="s">
        <v>43</v>
      </c>
    </row>
    <row r="4" spans="1:4">
      <c r="A4" s="7" t="s">
        <v>516</v>
      </c>
      <c r="B4" s="7" t="s">
        <v>519</v>
      </c>
      <c r="C4" s="7" t="s">
        <v>518</v>
      </c>
      <c r="D4" s="7" t="s">
        <v>220</v>
      </c>
    </row>
    <row r="5" spans="1:4" ht="42.75">
      <c r="A5" s="7" t="s">
        <v>520</v>
      </c>
      <c r="B5" s="7" t="s">
        <v>521</v>
      </c>
      <c r="C5" s="7" t="s">
        <v>522</v>
      </c>
      <c r="D5" s="7" t="s">
        <v>523</v>
      </c>
    </row>
    <row r="6" spans="1:4" ht="42.75">
      <c r="A6" s="7" t="s">
        <v>524</v>
      </c>
      <c r="B6" s="7" t="s">
        <v>525</v>
      </c>
      <c r="C6" s="7" t="s">
        <v>526</v>
      </c>
      <c r="D6" s="7" t="s">
        <v>54</v>
      </c>
    </row>
    <row r="7" spans="1:4" ht="57">
      <c r="A7" s="7" t="s">
        <v>527</v>
      </c>
      <c r="B7" s="7" t="s">
        <v>528</v>
      </c>
      <c r="C7" s="7" t="s">
        <v>529</v>
      </c>
      <c r="D7" s="7" t="s">
        <v>54</v>
      </c>
    </row>
    <row r="8" spans="1:4" ht="28.5">
      <c r="A8" s="7" t="s">
        <v>530</v>
      </c>
      <c r="B8" s="7" t="s">
        <v>531</v>
      </c>
      <c r="C8" s="7" t="s">
        <v>532</v>
      </c>
      <c r="D8" s="7" t="s">
        <v>54</v>
      </c>
    </row>
    <row r="9" spans="1:4" ht="42.75">
      <c r="A9" s="7" t="s">
        <v>533</v>
      </c>
      <c r="B9" s="7" t="s">
        <v>534</v>
      </c>
      <c r="C9" s="7" t="s">
        <v>535</v>
      </c>
      <c r="D9" s="7" t="s">
        <v>54</v>
      </c>
    </row>
    <row r="10" spans="1:4" ht="42.75">
      <c r="A10" s="7" t="s">
        <v>536</v>
      </c>
      <c r="B10" s="7" t="s">
        <v>537</v>
      </c>
      <c r="C10" s="7" t="s">
        <v>538</v>
      </c>
      <c r="D10" s="7" t="s">
        <v>539</v>
      </c>
    </row>
    <row r="11" spans="1:4" ht="71.25">
      <c r="A11" s="7" t="s">
        <v>540</v>
      </c>
      <c r="B11" s="7" t="s">
        <v>541</v>
      </c>
      <c r="C11" s="7" t="s">
        <v>542</v>
      </c>
      <c r="D11" s="7" t="s">
        <v>543</v>
      </c>
    </row>
    <row r="12" spans="1:4" ht="57">
      <c r="A12" s="7" t="s">
        <v>544</v>
      </c>
      <c r="B12" s="7" t="s">
        <v>545</v>
      </c>
      <c r="C12" s="7" t="s">
        <v>546</v>
      </c>
      <c r="D12" s="7" t="s">
        <v>547</v>
      </c>
    </row>
    <row r="13" spans="1:4" ht="42.75">
      <c r="A13" s="7" t="s">
        <v>548</v>
      </c>
      <c r="B13" s="7" t="s">
        <v>549</v>
      </c>
      <c r="C13" s="7" t="s">
        <v>550</v>
      </c>
      <c r="D13" s="7" t="s">
        <v>543</v>
      </c>
    </row>
    <row r="14" spans="1:4" ht="57">
      <c r="A14" s="7" t="s">
        <v>206</v>
      </c>
      <c r="B14" s="7" t="s">
        <v>551</v>
      </c>
      <c r="C14" s="7" t="s">
        <v>552</v>
      </c>
      <c r="D14" s="7" t="s">
        <v>543</v>
      </c>
    </row>
    <row r="15" spans="1:4" ht="42.75">
      <c r="A15" s="7" t="s">
        <v>553</v>
      </c>
      <c r="B15" s="7" t="s">
        <v>554</v>
      </c>
      <c r="C15" s="7" t="s">
        <v>555</v>
      </c>
      <c r="D15" s="7" t="s">
        <v>556</v>
      </c>
    </row>
    <row r="16" spans="1:4" ht="42.75">
      <c r="A16" s="7" t="s">
        <v>557</v>
      </c>
      <c r="B16" s="7" t="s">
        <v>558</v>
      </c>
      <c r="C16" s="7" t="s">
        <v>559</v>
      </c>
      <c r="D16" s="7" t="s">
        <v>556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workbookViewId="0"/>
  </sheetViews>
  <sheetFormatPr defaultRowHeight="14.25"/>
  <cols>
    <col min="1" max="1" width="14" customWidth="1"/>
    <col min="2" max="2" width="16.625" customWidth="1"/>
    <col min="3" max="3" width="30" customWidth="1"/>
    <col min="5" max="5" width="28.25" customWidth="1"/>
    <col min="6" max="6" width="49.625" customWidth="1"/>
    <col min="7" max="7" width="60.125" customWidth="1"/>
    <col min="8" max="8" width="35" customWidth="1"/>
  </cols>
  <sheetData>
    <row r="1" spans="1:8" ht="20.25">
      <c r="A1" s="1" t="s">
        <v>560</v>
      </c>
    </row>
    <row r="3" spans="1:8" ht="15">
      <c r="A3" s="5" t="s">
        <v>561</v>
      </c>
      <c r="B3" s="5" t="s">
        <v>562</v>
      </c>
      <c r="C3" s="5" t="s">
        <v>396</v>
      </c>
      <c r="E3" s="5" t="s">
        <v>563</v>
      </c>
      <c r="F3" s="5" t="s">
        <v>564</v>
      </c>
      <c r="G3" s="5" t="s">
        <v>565</v>
      </c>
      <c r="H3" s="5" t="s">
        <v>43</v>
      </c>
    </row>
    <row r="4" spans="1:8">
      <c r="A4">
        <v>1</v>
      </c>
      <c r="B4">
        <v>50</v>
      </c>
      <c r="C4" t="s">
        <v>566</v>
      </c>
      <c r="E4" t="s">
        <v>567</v>
      </c>
      <c r="F4" t="s">
        <v>568</v>
      </c>
      <c r="G4" t="s">
        <v>569</v>
      </c>
      <c r="H4" t="s">
        <v>543</v>
      </c>
    </row>
    <row r="5" spans="1:8">
      <c r="A5">
        <v>2</v>
      </c>
      <c r="B5">
        <v>40</v>
      </c>
      <c r="E5" t="s">
        <v>570</v>
      </c>
      <c r="F5" t="s">
        <v>571</v>
      </c>
      <c r="G5" t="s">
        <v>572</v>
      </c>
      <c r="H5" t="s">
        <v>543</v>
      </c>
    </row>
    <row r="6" spans="1:8">
      <c r="A6">
        <v>3</v>
      </c>
      <c r="B6">
        <v>35</v>
      </c>
      <c r="E6" t="s">
        <v>573</v>
      </c>
      <c r="F6" t="s">
        <v>574</v>
      </c>
      <c r="G6" t="s">
        <v>575</v>
      </c>
      <c r="H6" t="s">
        <v>543</v>
      </c>
    </row>
    <row r="7" spans="1:8">
      <c r="A7">
        <v>4</v>
      </c>
      <c r="B7">
        <v>32</v>
      </c>
      <c r="E7" t="s">
        <v>576</v>
      </c>
      <c r="F7" t="s">
        <v>577</v>
      </c>
      <c r="G7" t="s">
        <v>578</v>
      </c>
      <c r="H7" t="s">
        <v>543</v>
      </c>
    </row>
    <row r="8" spans="1:8">
      <c r="A8">
        <v>5</v>
      </c>
      <c r="B8">
        <v>30</v>
      </c>
      <c r="E8" t="s">
        <v>579</v>
      </c>
      <c r="F8" t="s">
        <v>580</v>
      </c>
      <c r="G8" t="s">
        <v>581</v>
      </c>
      <c r="H8" t="s">
        <v>543</v>
      </c>
    </row>
    <row r="9" spans="1:8">
      <c r="A9">
        <v>6</v>
      </c>
      <c r="B9">
        <v>28</v>
      </c>
    </row>
    <row r="10" spans="1:8">
      <c r="A10">
        <v>7</v>
      </c>
      <c r="B10">
        <v>26</v>
      </c>
    </row>
    <row r="11" spans="1:8">
      <c r="A11">
        <v>8</v>
      </c>
      <c r="B11">
        <v>24</v>
      </c>
    </row>
    <row r="12" spans="1:8">
      <c r="A12">
        <v>9</v>
      </c>
      <c r="B12">
        <v>22</v>
      </c>
    </row>
    <row r="13" spans="1:8">
      <c r="A13">
        <v>10</v>
      </c>
      <c r="B13">
        <v>20</v>
      </c>
    </row>
    <row r="14" spans="1:8">
      <c r="A14">
        <v>11</v>
      </c>
      <c r="B14">
        <v>19</v>
      </c>
      <c r="C14" t="s">
        <v>582</v>
      </c>
    </row>
    <row r="15" spans="1:8">
      <c r="A15">
        <v>12</v>
      </c>
      <c r="B15">
        <v>18</v>
      </c>
    </row>
    <row r="16" spans="1:8">
      <c r="A16">
        <v>13</v>
      </c>
      <c r="B16">
        <v>17</v>
      </c>
    </row>
    <row r="17" spans="1:3">
      <c r="A17">
        <v>14</v>
      </c>
      <c r="B17">
        <v>16</v>
      </c>
    </row>
    <row r="18" spans="1:3">
      <c r="A18">
        <v>15</v>
      </c>
      <c r="B18">
        <v>15</v>
      </c>
    </row>
    <row r="19" spans="1:3">
      <c r="A19">
        <v>16</v>
      </c>
      <c r="B19">
        <v>14</v>
      </c>
    </row>
    <row r="20" spans="1:3">
      <c r="A20">
        <v>17</v>
      </c>
      <c r="B20">
        <v>13</v>
      </c>
    </row>
    <row r="21" spans="1:3">
      <c r="A21">
        <v>18</v>
      </c>
      <c r="B21">
        <v>12</v>
      </c>
    </row>
    <row r="22" spans="1:3">
      <c r="A22">
        <v>19</v>
      </c>
      <c r="B22">
        <v>11</v>
      </c>
    </row>
    <row r="23" spans="1:3">
      <c r="A23">
        <v>20</v>
      </c>
      <c r="B23">
        <v>10</v>
      </c>
    </row>
    <row r="24" spans="1:3">
      <c r="A24">
        <v>21</v>
      </c>
      <c r="B24">
        <v>9</v>
      </c>
    </row>
    <row r="25" spans="1:3">
      <c r="A25">
        <v>22</v>
      </c>
      <c r="B25">
        <v>8</v>
      </c>
    </row>
    <row r="26" spans="1:3">
      <c r="A26">
        <v>23</v>
      </c>
      <c r="B26">
        <v>7</v>
      </c>
    </row>
    <row r="27" spans="1:3">
      <c r="A27">
        <v>24</v>
      </c>
      <c r="B27">
        <v>6</v>
      </c>
    </row>
    <row r="28" spans="1:3">
      <c r="A28">
        <v>25</v>
      </c>
      <c r="B28">
        <v>5</v>
      </c>
      <c r="C28" t="s">
        <v>583</v>
      </c>
    </row>
    <row r="29" spans="1:3">
      <c r="A29">
        <v>26</v>
      </c>
      <c r="B29">
        <v>5</v>
      </c>
    </row>
    <row r="30" spans="1:3">
      <c r="A30">
        <v>27</v>
      </c>
      <c r="B30">
        <v>5</v>
      </c>
    </row>
    <row r="31" spans="1:3">
      <c r="A31">
        <v>28</v>
      </c>
      <c r="B31">
        <v>5</v>
      </c>
    </row>
    <row r="32" spans="1:3">
      <c r="A32">
        <v>29</v>
      </c>
      <c r="B32">
        <v>5</v>
      </c>
    </row>
    <row r="33" spans="1:2">
      <c r="A33">
        <v>30</v>
      </c>
      <c r="B33">
        <v>5</v>
      </c>
    </row>
    <row r="34" spans="1:2">
      <c r="A34">
        <v>31</v>
      </c>
      <c r="B34">
        <v>5</v>
      </c>
    </row>
    <row r="35" spans="1:2">
      <c r="A35">
        <v>32</v>
      </c>
      <c r="B35">
        <v>5</v>
      </c>
    </row>
    <row r="36" spans="1:2">
      <c r="A36">
        <v>33</v>
      </c>
      <c r="B36">
        <v>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/>
  </sheetViews>
  <sheetFormatPr defaultRowHeight="14.25"/>
  <cols>
    <col min="1" max="3" width="18" customWidth="1"/>
  </cols>
  <sheetData>
    <row r="1" spans="1:3" ht="20.25">
      <c r="A1" s="1" t="s">
        <v>584</v>
      </c>
    </row>
    <row r="3" spans="1:3" ht="15">
      <c r="A3" s="6" t="s">
        <v>585</v>
      </c>
      <c r="B3" s="6" t="s">
        <v>586</v>
      </c>
      <c r="C3" s="6" t="s">
        <v>587</v>
      </c>
    </row>
    <row r="4" spans="1:3" ht="42.75">
      <c r="A4" s="7" t="s">
        <v>588</v>
      </c>
      <c r="B4" s="7" t="s">
        <v>589</v>
      </c>
      <c r="C4" s="7" t="s">
        <v>590</v>
      </c>
    </row>
    <row r="5" spans="1:3" ht="42.75">
      <c r="A5" s="7" t="s">
        <v>591</v>
      </c>
      <c r="B5" s="7" t="s">
        <v>592</v>
      </c>
      <c r="C5" s="7" t="s">
        <v>593</v>
      </c>
    </row>
    <row r="6" spans="1:3" ht="57">
      <c r="A6" s="7" t="s">
        <v>217</v>
      </c>
      <c r="B6" s="7" t="s">
        <v>594</v>
      </c>
      <c r="C6" s="7" t="s">
        <v>595</v>
      </c>
    </row>
    <row r="7" spans="1:3" ht="42.75">
      <c r="A7" s="7" t="s">
        <v>596</v>
      </c>
      <c r="B7" s="7" t="s">
        <v>597</v>
      </c>
      <c r="C7" s="7" t="s">
        <v>598</v>
      </c>
    </row>
    <row r="8" spans="1:3" ht="71.25">
      <c r="A8" s="7" t="s">
        <v>599</v>
      </c>
      <c r="B8" s="7" t="s">
        <v>600</v>
      </c>
      <c r="C8" s="7" t="s">
        <v>601</v>
      </c>
    </row>
    <row r="9" spans="1:3" ht="57">
      <c r="A9" s="7" t="s">
        <v>602</v>
      </c>
      <c r="B9" s="7" t="s">
        <v>603</v>
      </c>
      <c r="C9" s="7" t="s">
        <v>604</v>
      </c>
    </row>
    <row r="10" spans="1:3" ht="57">
      <c r="A10" s="7" t="s">
        <v>605</v>
      </c>
      <c r="B10" s="7" t="s">
        <v>606</v>
      </c>
      <c r="C10" s="7" t="s">
        <v>607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/>
  </sheetViews>
  <sheetFormatPr defaultRowHeight="14.25"/>
  <cols>
    <col min="1" max="1" width="18" customWidth="1"/>
    <col min="2" max="2" width="32" customWidth="1"/>
  </cols>
  <sheetData>
    <row r="1" spans="1:2" ht="20.25">
      <c r="A1" s="1" t="s">
        <v>608</v>
      </c>
    </row>
    <row r="3" spans="1:2" ht="15">
      <c r="A3" s="6" t="s">
        <v>609</v>
      </c>
      <c r="B3" s="6" t="s">
        <v>610</v>
      </c>
    </row>
    <row r="4" spans="1:2" ht="71.25">
      <c r="A4" s="7" t="s">
        <v>611</v>
      </c>
      <c r="B4" s="7" t="s">
        <v>612</v>
      </c>
    </row>
    <row r="5" spans="1:2" ht="71.25">
      <c r="A5" s="7" t="s">
        <v>613</v>
      </c>
      <c r="B5" s="7" t="s">
        <v>614</v>
      </c>
    </row>
    <row r="6" spans="1:2" ht="57">
      <c r="A6" s="7" t="s">
        <v>615</v>
      </c>
      <c r="B6" s="7" t="s">
        <v>616</v>
      </c>
    </row>
    <row r="7" spans="1:2" ht="71.25">
      <c r="A7" s="7" t="s">
        <v>206</v>
      </c>
      <c r="B7" s="7" t="s">
        <v>617</v>
      </c>
    </row>
    <row r="8" spans="1:2" ht="71.25">
      <c r="A8" s="7" t="s">
        <v>324</v>
      </c>
      <c r="B8" s="7" t="s">
        <v>618</v>
      </c>
    </row>
    <row r="9" spans="1:2" ht="42.75">
      <c r="A9" s="7" t="s">
        <v>619</v>
      </c>
      <c r="B9" s="7" t="s">
        <v>620</v>
      </c>
    </row>
    <row r="10" spans="1:2" ht="57">
      <c r="A10" s="7" t="s">
        <v>621</v>
      </c>
      <c r="B10" s="7" t="s">
        <v>622</v>
      </c>
    </row>
    <row r="11" spans="1:2" ht="71.25">
      <c r="A11" s="7" t="s">
        <v>623</v>
      </c>
      <c r="B11" s="7" t="s">
        <v>624</v>
      </c>
    </row>
    <row r="12" spans="1:2" ht="42.75">
      <c r="A12" s="7" t="s">
        <v>625</v>
      </c>
      <c r="B12" s="7" t="s">
        <v>626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workbookViewId="0"/>
  </sheetViews>
  <sheetFormatPr defaultRowHeight="14.25"/>
  <cols>
    <col min="1" max="1" width="32" customWidth="1"/>
    <col min="2" max="2" width="18" customWidth="1"/>
  </cols>
  <sheetData>
    <row r="1" spans="1:2" ht="20.25">
      <c r="A1" s="1" t="s">
        <v>627</v>
      </c>
    </row>
    <row r="2" spans="1:2">
      <c r="A2" s="4" t="s">
        <v>628</v>
      </c>
    </row>
    <row r="4" spans="1:2" ht="15">
      <c r="A4" s="6" t="s">
        <v>220</v>
      </c>
      <c r="B4" s="6" t="s">
        <v>629</v>
      </c>
    </row>
    <row r="5" spans="1:2" ht="42.75">
      <c r="A5" s="7" t="s">
        <v>630</v>
      </c>
      <c r="B5" s="7" t="s">
        <v>54</v>
      </c>
    </row>
    <row r="6" spans="1:2" ht="28.5">
      <c r="A6" s="7" t="s">
        <v>631</v>
      </c>
      <c r="B6" s="7" t="s">
        <v>122</v>
      </c>
    </row>
    <row r="7" spans="1:2" ht="28.5">
      <c r="A7" s="7" t="s">
        <v>632</v>
      </c>
      <c r="B7" s="7" t="s">
        <v>227</v>
      </c>
    </row>
    <row r="8" spans="1:2" ht="28.5">
      <c r="A8" s="7" t="s">
        <v>633</v>
      </c>
      <c r="B8" s="7" t="s">
        <v>340</v>
      </c>
    </row>
    <row r="9" spans="1:2" ht="57">
      <c r="A9" s="7" t="s">
        <v>634</v>
      </c>
      <c r="B9" s="7" t="s">
        <v>539</v>
      </c>
    </row>
    <row r="10" spans="1:2" ht="71.25">
      <c r="A10" s="7" t="s">
        <v>635</v>
      </c>
      <c r="B10" s="7" t="s">
        <v>543</v>
      </c>
    </row>
    <row r="11" spans="1:2" ht="42.75">
      <c r="A11" s="7" t="s">
        <v>636</v>
      </c>
      <c r="B11" s="7" t="s">
        <v>547</v>
      </c>
    </row>
    <row r="12" spans="1:2" ht="42.75">
      <c r="A12" s="7" t="s">
        <v>637</v>
      </c>
      <c r="B12" s="7" t="s">
        <v>148</v>
      </c>
    </row>
    <row r="13" spans="1:2" ht="57">
      <c r="A13" s="7" t="s">
        <v>638</v>
      </c>
      <c r="B13" s="7" t="s">
        <v>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2026_Calendar_Track_Ratings</vt:lpstr>
      <vt:lpstr>Track_Setup_Profiles</vt:lpstr>
      <vt:lpstr>2026_Drivers</vt:lpstr>
      <vt:lpstr>2026_Teams_Cars</vt:lpstr>
      <vt:lpstr>Driver_Market</vt:lpstr>
      <vt:lpstr>Youth_Prospects_U18</vt:lpstr>
      <vt:lpstr>Rules_Regulations_Schedule</vt:lpstr>
      <vt:lpstr>Points_System</vt:lpstr>
      <vt:lpstr>Rating_Key</vt:lpstr>
      <vt:lpstr>Implementation_Notes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Terrance Bryant</cp:lastModifiedBy>
  <dcterms:modified xsi:type="dcterms:W3CDTF">2026-06-29T02:46:41Z</dcterms:modified>
</cp:coreProperties>
</file>